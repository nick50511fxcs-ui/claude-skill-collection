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사용설명서" sheetId="1" r:id="rId1"/>
    <sheet name="결과요약" sheetId="2" r:id="rId2"/>
    <sheet name="계산상세" sheetId="3" r:id="rId3"/>
    <sheet name="수주입력" sheetId="4" r:id="rId4"/>
    <sheet name="클립기준표" sheetId="5" r:id="rId5"/>
    <sheet name="설정" sheetId="6" r:id="rId6"/>
  </sheets>
  <definedNames>
    <definedName name="infoSource">'설정'!$C$17</definedName>
    <definedName name="inputOrderNo">'수주입력'!$B$3</definedName>
    <definedName name="_xlnm.Print_Area" localSheetId="1">결과요약!$B$2:$H$16</definedName>
    <definedName name="_xlnm.Print_Area" localSheetId="0">사용설명서!$B$2:$J$71</definedName>
    <definedName name="_xlnm.Print_Titles" localSheetId="2">계산상세!$4:$4</definedName>
    <definedName name="setColClass">'설정'!$C$10</definedName>
    <definedName name="setColDesc">'설정'!$C$8</definedName>
    <definedName name="setColOrder">'설정'!$C$7</definedName>
    <definedName name="setColQty">'설정'!$C$11</definedName>
    <definedName name="setColSize">'설정'!$C$9</definedName>
    <definedName name="setFactor">'설정'!$C$4</definedName>
    <definedName name="setFilter">'설정'!$C$14</definedName>
    <definedName name="setHeaderRow">'설정'!$C$12</definedName>
    <definedName name="tblClass">'클립기준표'!$B$4:$G$4</definedName>
    <definedName name="tblData">'클립기준표'!$B$5:$G$17</definedName>
    <definedName name="tblLabel">'클립기준표'!$A$5:$A$17</definedName>
    <definedName name="tblMax">'클립기준표'!$I$5:$I$17</definedName>
    <definedName name="tblMin">'클립기준표'!$H$5:$H$17</definedName>
  </definedNames>
  <calcPr calcId="124519" fullCalcOnLoad="1"/>
</workbook>
</file>

<file path=xl/sharedStrings.xml><?xml version="1.0" encoding="utf-8"?>
<sst xmlns="http://schemas.openxmlformats.org/spreadsheetml/2006/main" count="334" uniqueCount="215">
  <si>
    <t>가스켓 포장 클립(Spacer) 계산기  —  사용 설명서</t>
  </si>
  <si>
    <t>수주 상세 내역을 넣고 버튼만 누르면, 수주번호별 · 전체 필요한 클립 개수를 자동으로 계산합니다.</t>
  </si>
  <si>
    <t>버튼은 이 시트, 수주입력 시트, 결과요약 시트에 있습니다.  버튼이 눌리지 않으면 아래 1번(매크로 허용)을 먼저 해 주세요.</t>
  </si>
  <si>
    <t xml:space="preserve">  1. 처음 한 번만 — 매크로(버튼) 허용하기</t>
  </si>
  <si>
    <t>1</t>
  </si>
  <si>
    <t>파일을 열었을 때 화면 위쪽에 노란색 줄 [보안 경고 – 매크로를 사용할 수 없도록 설정했습니다]가 보이면 오른쪽의 [콘텐츠 사용] 버튼을 누르세요.</t>
  </si>
  <si>
    <t>2</t>
  </si>
  <si>
    <t>빨간색 줄 [보안 위험 – Microsoft에서 이 파일의 매크로 실행을 차단했습니다]가 보이면(메일·메신저로 받은 파일): 엑셀을 닫고 → 파일 아이콘을 마우스 오른쪽 클릭 → [속성] → 아래쪽 [차단 해제]에 체크 → [확인] → 파일을 다시 여세요.</t>
  </si>
  <si>
    <t>3</t>
  </si>
  <si>
    <t>저장할 때는 지금 형식(Excel 매크로 사용 통합 문서, .xlsm) 그대로 저장하세요. .xlsx로 바꿔 저장하면 버튼이 동작하지 않습니다.</t>
  </si>
  <si>
    <t xml:space="preserve">  2. 사용 방법 A — 수주 파일을 그대로 불러오기 (가장 쉬움)</t>
  </si>
  <si>
    <t>위의 [① 수주 파일 불러와서 계산] 버튼을 누릅니다.</t>
  </si>
  <si>
    <t>ERP에서 받은 '수주정보 상세목록' 엑셀(또는 CSV) 파일을 골라 [열기]를 누릅니다. 파일 양식은 고칠 필요 없습니다.
여러 수주를 한 번에 하려면 Ctrl 키를 누른 채 파일을 여러 개 클릭해서 고르세요. 파일 하나가 수주 하나로 계산되고, 결과요약에는 파일 이름이 수주 이름으로 나옵니다.</t>
  </si>
  <si>
    <t>끝입니다. 자동으로 계산되고 [결과요약] 시트가 열립니다.</t>
  </si>
  <si>
    <t xml:space="preserve">  3. 사용 방법 B — 복사해서 붙여넣기</t>
  </si>
  <si>
    <t>ERP에서 받은 '수주정보 상세목록' 엑셀을 열고, 아무 칸이나 클릭한 뒤 Ctrl + A → Ctrl + C 로 전체를 복사합니다 (제목 행 '순서 · 품목 · 품명 · 규격 · 수량 …'이 꼭 포함되어야 합니다). 맨 아래 '합 = …' 행은 같이 복사돼도 자동으로 빠집니다.</t>
  </si>
  <si>
    <t>[수주입력] 시트의 A5 셀을 클릭하고 붙여넣습니다 (Ctrl + V). 예전 데이터가 남아 있으면 먼저 [초기화] 버튼을 누르세요.</t>
  </si>
  <si>
    <t>수주정보 상세목록에는 수주번호 열이 없으므로, [수주입력] 시트 B3 노란 칸에 수주번호를 적어 두면 결과에 그 번호로 표시됩니다 (비워 두면 '수주 1'로 표시되고 계산은 똑같이 됩니다).</t>
  </si>
  <si>
    <t>4</t>
  </si>
  <si>
    <t>[② 붙여넣은 내역으로 계산] 버튼을 누릅니다.</t>
  </si>
  <si>
    <t>여러 수주를 붙여넣을 때: 첫 번째 목록 아래에 한 줄을 비우고, 그다음 줄 A열에 수주번호를 적은 뒤, 바로 아래 줄에 두 번째 목록을 제목 행째로 붙여넣으세요. 세 번째부터도 똑같이 하면 됩니다. 제목 행(순서 · 품목 · 품명 · 규격 · 수량 …)이 나올 때마다 새 수주로 나눠 계산합니다. 수주번호를 안 적으면 '수주 1', '수주 2' … 로 표시됩니다.</t>
  </si>
  <si>
    <t xml:space="preserve">  4. 결과 보는 법</t>
  </si>
  <si>
    <t>시트</t>
  </si>
  <si>
    <t>보이는 내용</t>
  </si>
  <si>
    <t>결과요약</t>
  </si>
  <si>
    <t>맨 위 초록색 칸 '최종 필요 클립'이 전체 필요한 클립 수입니다. 아래 표에 수주번호별 기본 클립과 최종 클립(× 1.2)이 나옵니다. [결과 PDF 저장] 버튼으로 보고서를 PDF로 저장할 수 있습니다.</t>
  </si>
  <si>
    <t>계산상세</t>
  </si>
  <si>
    <t>품목(라인)마다 Size · Class를 어떻게 읽었는지, 몇 묶음 · 몇 클립인지 보여 줍니다. 결과가 이상하면 여기를 확인하세요. 주황색 행은 계산에서 빠진 품목입니다.</t>
  </si>
  <si>
    <t xml:space="preserve">  5. 계산 방법</t>
  </si>
  <si>
    <t>기준표의 '10-4'는 10개씩 한 묶음으로 포장하고, 한 묶음에 클립 4개가 필요하다는 뜻입니다. '5-3'은 5개씩 · 클립 3개, '2-3'은 2개씩 · 클립 3개, '1-0'은 1개씩 포장 · 클립 없음, 'N/A'는 기준이 없다는 뜻입니다. 36" 이상은 Class와 관계없이 모두 1개씩 개별 포장(클립 0개)으로 계산합니다.</t>
  </si>
  <si>
    <t>묶음 수 = 수량 ÷ 묶음당 수량 (나머지가 있으면 한 묶음 더, 즉 올림)
기본 클립 = 묶음 수 × 묶음당 클립
최종 필요 클립 = 모든 품목(줄)의 기본 클립 합계 × 1.2 (소수점은 올림)</t>
  </si>
  <si>
    <t>품목 (예시)</t>
  </si>
  <si>
    <t>수량</t>
  </si>
  <si>
    <t>기준</t>
  </si>
  <si>
    <t>묶음 수</t>
  </si>
  <si>
    <t>기본 클립</t>
  </si>
  <si>
    <t>1-1/2" 150#</t>
  </si>
  <si>
    <t>25개</t>
  </si>
  <si>
    <t>10-4</t>
  </si>
  <si>
    <t>25 ÷ 10 = 2.5 → 3묶음</t>
  </si>
  <si>
    <t>3 × 4 = 12개</t>
  </si>
  <si>
    <t>6" 300#</t>
  </si>
  <si>
    <t>12개</t>
  </si>
  <si>
    <t>5-3</t>
  </si>
  <si>
    <t>12 ÷ 5 = 2.4 → 3묶음</t>
  </si>
  <si>
    <t>3 × 3 = 9개</t>
  </si>
  <si>
    <t>24" 900#</t>
  </si>
  <si>
    <t>4개</t>
  </si>
  <si>
    <t>1-0</t>
  </si>
  <si>
    <t>4묶음</t>
  </si>
  <si>
    <t>4 × 0 = 0개</t>
  </si>
  <si>
    <t>기본 클립 합계 = 12 + 9 + 0 = 21개  →  21 × 1.2 = 25.2  →  최종 26개</t>
  </si>
  <si>
    <t>※ 묶음은 품목 줄마다 따로 나눕니다. 수주번호별 최종 클립도 같은 방법(수주별 합계 × 1.2, 올림)으로 보여 주는데, 수주마다 올림을 하기 때문에 수주별 값을 더하면 전체 최종 클립과 몇 개 차이 날 수 있습니다. 발주 수량은 전체 최종 클립을 보세요.</t>
  </si>
  <si>
    <t xml:space="preserve">  6. 주황색 행 · '확인 필요'가 나오면</t>
  </si>
  <si>
    <t>상태</t>
  </si>
  <si>
    <t>뜻</t>
  </si>
  <si>
    <t>이렇게 하세요</t>
  </si>
  <si>
    <t>Size 인식 실패</t>
  </si>
  <si>
    <t>품명/규격에서 Size를 찾지 못함</t>
  </si>
  <si>
    <t>원본 표기 확인 (예: 1-1/2", 6", 50A). 또는 계산상세 E열에 숫자(인치)를 직접 입력</t>
  </si>
  <si>
    <t>Class 인식 실패</t>
  </si>
  <si>
    <t>150#, 300LB 같은 압력 등급을 찾지 못함</t>
  </si>
  <si>
    <t>원본에 150LB / CL150 형태로 있는지 확인. 또는 계산상세 F열에 150처럼 직접 입력</t>
  </si>
  <si>
    <t>기준표에 없는 Size</t>
  </si>
  <si>
    <t>22", 1/4" 처럼 기준표 범위 안이지만 표에 없는 Size</t>
  </si>
  <si>
    <t>담당자와 포장 기준 확인 후 필요하면 클립기준표에 추가</t>
  </si>
  <si>
    <t>N/A (기준 없음)</t>
  </si>
  <si>
    <t>기준표 값이 N/A (예: 14" 이상 2500#)</t>
  </si>
  <si>
    <t>담당자 확인</t>
  </si>
  <si>
    <t>기준표에 없는 Class</t>
  </si>
  <si>
    <t>400#, 2000# 처럼 표에 없는 Class</t>
  </si>
  <si>
    <t>수량 확인 필요</t>
  </si>
  <si>
    <t>수량 칸이 비었거나 숫자가 아님</t>
  </si>
  <si>
    <t>원본 수량 확인. 또는 계산상세 D열에 직접 입력</t>
  </si>
  <si>
    <t>계산상세 시트의 노란 제목 칸(D 수량, E Size, F Class)은 직접 고치면 그 자리에서 다시 계산됩니다. 단, 계산 버튼을 다시 누르면 직접 고친 값은 지워지므로, 원본(수주입력)을 고치는 것이 가장 확실합니다.</t>
  </si>
  <si>
    <t xml:space="preserve">  7. 자동으로 알아보는 표기</t>
  </si>
  <si>
    <t>항목</t>
  </si>
  <si>
    <t>알아보는 예</t>
  </si>
  <si>
    <t>Size</t>
  </si>
  <si>
    <t>1/2"   3/4"   1-1/2"   1 1/2"   1.5"   2IN   6 INCH   NPS 6   2B   50A   DN50   30"(A)
(Size가 별도 열에 있으면 6, 1.5, 1-1/2 처럼 숫자만 있어도 됩니다)</t>
  </si>
  <si>
    <t>Class</t>
  </si>
  <si>
    <t>150#   150LB   150LBS   CL150   CLASS 150   ANSI 150   300/600LB   150/300/600LB
(Class가 별도 열에 있으면 150만 있어도 됩니다)
300/600LB, 150/300LB, 9/1500LB(= 900/1500LB)처럼 Class가 여러 개면 어느 Class로 포장해도 되는 품목이므로, 앞에 적힌 Class로 계산하고 계산상세 '비고' 열에 적어 둡니다.</t>
  </si>
  <si>
    <t>열 이름</t>
  </si>
  <si>
    <t>수주정보 상세목록 양식(순서 · 품목 · 품명 · 규격 · 수량 …)은 그대로 인식합니다. 그 밖에 수주번호(ORDER NO, SO NO, PO NO…) · 품명/규격(DESCRIPTION, ITEM, SPEC…) · SIZE · CLASS(RATING, 압력) · 수량(QTY…)
이름이 달라 못 찾으면 [설정] 시트에서 열 문자(A, B, C…)를 직접 지정하세요.</t>
  </si>
  <si>
    <t>기타</t>
  </si>
  <si>
    <t>합계 · 소계 행은 자동으로 빠집니다. 수주번호가 첫 줄에만 있고 아래 칸이 비어 있으면 위의 번호를 이어서 씁니다.</t>
  </si>
  <si>
    <t xml:space="preserve">  8. 기준 · 설정 바꾸기</t>
  </si>
  <si>
    <t>•</t>
  </si>
  <si>
    <t>포장 기준 변경: [클립기준표] 시트의 '10-4' 같은 값을 같은 형식(숫자-숫자)으로 고치면 바로 반영됩니다.</t>
  </si>
  <si>
    <t>여유 계수 변경: [설정] 시트의 1.2를 원하는 값으로 바꾸세요.</t>
  </si>
  <si>
    <t>가스켓이 아닌 품목이 섞여 있으면: [설정] 시트 '품목 필터'에 GASKET 처럼 단어를 넣으면 그 단어가 들어간 행만 계산합니다.</t>
  </si>
  <si>
    <t xml:space="preserve">  9. 시트 구성</t>
  </si>
  <si>
    <t>용도</t>
  </si>
  <si>
    <t>사용설명서</t>
  </si>
  <si>
    <t>지금 보고 있는 안내서와 실행 버튼</t>
  </si>
  <si>
    <t>보고용 결과 — 전체 및 수주번호별 필요 클립</t>
  </si>
  <si>
    <t>품목 라인별 계산 과정 (확인 · 수정용)</t>
  </si>
  <si>
    <t>수주입력</t>
  </si>
  <si>
    <t>수주 상세 내역을 넣는 곳 (예시 데이터가 들어 있습니다)</t>
  </si>
  <si>
    <t>클립기준표</t>
  </si>
  <si>
    <t>JIC-3S-PSG-25-001 Rev.9 · 4.3 Gasket Bundles &amp; Spacer Requirements (Table 3)</t>
  </si>
  <si>
    <t>설정</t>
  </si>
  <si>
    <t>여유 계수, 열 직접 지정, 품목 필터</t>
  </si>
  <si>
    <t>처음 열었을 때는 수주입력 시트에 예시 데이터가 들어 있습니다. [② 붙여넣은 내역으로 계산]을 눌러 결과가 어떻게 나오는지 먼저 확인해 보세요.</t>
  </si>
  <si>
    <t>가스켓 포장 클립(Spacer) 소요량 산출 결과</t>
  </si>
  <si>
    <t>Gasket Bundle &amp; Spacer(Clip) Requirement Report</t>
  </si>
  <si>
    <t>산출 일시</t>
  </si>
  <si>
    <t>원본 데이터</t>
  </si>
  <si>
    <t>적용 기준</t>
  </si>
  <si>
    <t>JIC-3S-PSG-25-001 Rev.9 (Table 3)</t>
  </si>
  <si>
    <t>여유 계수</t>
  </si>
  <si>
    <t>최종 필요 클립 (전체)</t>
  </si>
  <si>
    <t>기본 클립
(여유 전)</t>
  </si>
  <si>
    <t>수주 건수</t>
  </si>
  <si>
    <t>품목 라인 수</t>
  </si>
  <si>
    <t>총 수량 (개)</t>
  </si>
  <si>
    <t>확인 필요 라인</t>
  </si>
  <si>
    <t>■ 수주번호별 클립 소요량</t>
  </si>
  <si>
    <t>수주번호</t>
  </si>
  <si>
    <t>기본 클립 (개)</t>
  </si>
  <si>
    <t>최종 클립 (개)
× 여유 계수</t>
  </si>
  <si>
    <t>비고</t>
  </si>
  <si>
    <t>아직 계산 전입니다. [② 붙여넣은 내역으로 계산] 버튼을 눌러 주세요.</t>
  </si>
  <si>
    <t>계산 상세 (품목 라인별)</t>
  </si>
  <si>
    <t>주황색 행은 클립 계산에서 빠진 품목입니다(M열 상태 참고).  노란 제목 칸(D 수량 · E Size · F Class)은 직접 고치면 즉시 다시 계산됩니다.</t>
  </si>
  <si>
    <t>No</t>
  </si>
  <si>
    <t>품목 내용 (원문)</t>
  </si>
  <si>
    <t>Size
(inch)</t>
  </si>
  <si>
    <t>Class
(#)</t>
  </si>
  <si>
    <t>기준 Size 구분</t>
  </si>
  <si>
    <t>포장 기준
(묶음-클립)</t>
  </si>
  <si>
    <t>묶음당
수량</t>
  </si>
  <si>
    <t>묶음당
클립</t>
  </si>
  <si>
    <t>원본 행</t>
  </si>
  <si>
    <t>수주 상세 내역 입력</t>
  </si>
  <si>
    <t>파일을 불러오거나, A5 셀부터 붙여넣고 계산 버튼을 누르세요.</t>
  </si>
  <si>
    <t>수주번호:</t>
  </si>
  <si>
    <t>예시-0001</t>
  </si>
  <si>
    <t>← 수주번호 열이 없는 양식이면 여기에 적으세요 (선택)</t>
  </si>
  <si>
    <t>▼ 이 아래 5행부터 수주 상세 내역을 넣으세요 (제목 행 포함). 아래는 예시 데이터입니다.</t>
  </si>
  <si>
    <t>순서</t>
  </si>
  <si>
    <t>품목</t>
  </si>
  <si>
    <t>품명</t>
  </si>
  <si>
    <t>규격</t>
  </si>
  <si>
    <t>단가</t>
  </si>
  <si>
    <t>단위</t>
  </si>
  <si>
    <t>생산특기사항</t>
  </si>
  <si>
    <t>라벨표기사항</t>
  </si>
  <si>
    <t>O-SW(3S)-000101</t>
  </si>
  <si>
    <t>SW(3S), 304, SF, OR(CS)</t>
  </si>
  <si>
    <t>4.5T RF 150LB 1" [*31.8*47.8*66.8]</t>
  </si>
  <si>
    <t>EA</t>
  </si>
  <si>
    <t>3S OEM</t>
  </si>
  <si>
    <t>GS010-150B1A</t>
  </si>
  <si>
    <t>O-SW(3S)-000102</t>
  </si>
  <si>
    <t>4.5T RF 300/600LB 2" [*69.9*85.9*111.3]</t>
  </si>
  <si>
    <t>GS020-300B1A</t>
  </si>
  <si>
    <t>O-SW(3S)-000103</t>
  </si>
  <si>
    <t>4.5T RF 150LB 6" [*182.6*209.6*222.3]</t>
  </si>
  <si>
    <t>GS060-150B1A</t>
  </si>
  <si>
    <t>O-SW(3S)-000104</t>
  </si>
  <si>
    <t>SW(3S), 316L, SF, I/OR(316L,CS)</t>
  </si>
  <si>
    <t>4.5T RF 300LB 12" [317.5*339.9*374.7*422.4]</t>
  </si>
  <si>
    <t>GSI120-300C1AC</t>
  </si>
  <si>
    <t>O-SW(3S)-000105</t>
  </si>
  <si>
    <t>SW(3S), 304, SF, I/OR(304,CS)</t>
  </si>
  <si>
    <t>4.5T RF 900LB 24" [590.6*628.7*679.5*838.2]</t>
  </si>
  <si>
    <t>GSI240-900B1AB</t>
  </si>
  <si>
    <t>O-SW(3S)-000106</t>
  </si>
  <si>
    <t>SW(3S), None, None, IR(304)</t>
  </si>
  <si>
    <t>3.0T RF 150/300LB 6" [157.2*182.6]</t>
  </si>
  <si>
    <t>IR060-150-300B</t>
  </si>
  <si>
    <t/>
  </si>
  <si>
    <t>합 = 474</t>
  </si>
  <si>
    <t>Gaskets Bundle Quantity - Spacer(Clip) Quantity</t>
  </si>
  <si>
    <t>'10-4' = 10개씩 한 묶음 포장, 한 묶음에 클립 4개  /  '1-0' = 1개씩 포장, 클립 불필요  /  N/A = 기준 없음.   파란 글자 칸은 같은 형식(숫자-숫자)으로 고칠 수 있습니다.</t>
  </si>
  <si>
    <t>NPS / Pressure Class</t>
  </si>
  <si>
    <t>Size 범위 시작
(inch)</t>
  </si>
  <si>
    <t>Size 범위 끝
(inch)</t>
  </si>
  <si>
    <t>1/2" - 1-1/2"</t>
  </si>
  <si>
    <t>2" - 5"</t>
  </si>
  <si>
    <t>6"</t>
  </si>
  <si>
    <t>8"</t>
  </si>
  <si>
    <t>10"</t>
  </si>
  <si>
    <t>12"</t>
  </si>
  <si>
    <t>14"</t>
  </si>
  <si>
    <t>N/A</t>
  </si>
  <si>
    <t>16"</t>
  </si>
  <si>
    <t>2-3</t>
  </si>
  <si>
    <t>18"</t>
  </si>
  <si>
    <t>20"</t>
  </si>
  <si>
    <t>24"</t>
  </si>
  <si>
    <t>30"</t>
  </si>
  <si>
    <t>36" 이상</t>
  </si>
  <si>
    <t>출처: JIC-3S-PSG-25-001 Rev.9, Product Specification for Gasket, 4.3 Gasket Bundles &amp; Spacer Requirements (Table 3) — 사용자 제공 문서.  단, 마지막 행 '36" 이상 = 전부 1-0(개별 포장, 클립 0개)'은 사용자 지정 규칙입니다.</t>
  </si>
  <si>
    <t>H · I열은 Size를 표의 행에 맞추는 범위입니다 (예: 3/4" = 0.75 → '1/2" - 1-1/2"' 행). 범위 밖 Size(22", 1/4" 등)는 '기준표에 없는 Size'로 표시됩니다.</t>
  </si>
  <si>
    <t>노란 칸만 고치세요. 평소에는 여유 계수 외에는 비워 두면 됩니다.</t>
  </si>
  <si>
    <t>최종 클립 = 수주별 기본 클립 × 여유 계수 (소수점 올림).  기본값 1.2 = 사용자 요청 기준</t>
  </si>
  <si>
    <t>열 직접 지정 — 자동으로 열을 못 찾을 때만 입력하세요 (수주입력 시트 기준, 예: A, B, C)</t>
  </si>
  <si>
    <t>수주번호 열</t>
  </si>
  <si>
    <t>수주번호가 있는 열</t>
  </si>
  <si>
    <t>품명/규격 열</t>
  </si>
  <si>
    <t>Size · Class가 적혀 있는 열 (예: 1-1/2" 150LB 가 들어 있는 열)</t>
  </si>
  <si>
    <t>Size 열</t>
  </si>
  <si>
    <t>Size가 별도 열에 있을 때만</t>
  </si>
  <si>
    <t>Class 열</t>
  </si>
  <si>
    <t>Class(압력 등급)가 별도 열에 있을 때만</t>
  </si>
  <si>
    <t>수량 열</t>
  </si>
  <si>
    <t>수량이 있는 열</t>
  </si>
  <si>
    <t>제목 행 번호</t>
  </si>
  <si>
    <t>수주입력 시트에서 제목(열 이름)이 있는 행 번호 (예: 5)</t>
  </si>
  <si>
    <t>품목 필터</t>
  </si>
  <si>
    <t>이 단어가 들어간 행만 계산합니다 (여러 개는 쉼표로: GASKET,SWG).  비워 두면 모든 행을 계산합니다.</t>
  </si>
  <si>
    <t>마지막으로 불러온 파일</t>
  </si>
  <si>
    <t>예시 데이터</t>
  </si>
</sst>
</file>

<file path=xl/styles.xml><?xml version="1.0" encoding="utf-8"?>
<styleSheet xmlns="http://schemas.openxmlformats.org/spreadsheetml/2006/main">
  <numFmts count="8">
    <numFmt numFmtId="164" formatCode="yyyy-mm-dd hh:mm"/>
    <numFmt numFmtId="165" formatCode="&quot;× &quot;0.0#"/>
    <numFmt numFmtId="166" formatCode="#,##0&quot; 개&quot;"/>
    <numFmt numFmtId="167" formatCode="#,##0&quot; 건&quot;"/>
    <numFmt numFmtId="168" formatCode="#,##0"/>
    <numFmt numFmtId="169" formatCode="[Red]#,##0;[Red]-#,##0;0"/>
    <numFmt numFmtId="170" formatCode="0&quot;#&quot;"/>
    <numFmt numFmtId="171" formatCode="0.0#"/>
  </numFmts>
  <fonts count="23">
    <font>
      <sz val="10"/>
      <color theme="1"/>
      <name val="Malgun Gothic"/>
      <family val="2"/>
    </font>
    <font>
      <b/>
      <sz val="18"/>
      <color rgb="FF1F3864"/>
      <name val="Malgun Gothic"/>
      <family val="2"/>
    </font>
    <font>
      <sz val="11"/>
      <color rgb="FF404040"/>
      <name val="Malgun Gothic"/>
      <family val="2"/>
    </font>
    <font>
      <sz val="9"/>
      <color rgb="FF7F7F7F"/>
      <name val="Malgun Gothic"/>
      <family val="2"/>
    </font>
    <font>
      <b/>
      <sz val="12"/>
      <color rgb="FFFFFFFF"/>
      <name val="Malgun Gothic"/>
      <family val="2"/>
    </font>
    <font>
      <b/>
      <sz val="11"/>
      <color rgb="FF1F3864"/>
      <name val="Malgun Gothic"/>
      <family val="2"/>
    </font>
    <font>
      <b/>
      <sz val="10"/>
      <color theme="1"/>
      <name val="Malgun Gothic"/>
      <family val="2"/>
    </font>
    <font>
      <b/>
      <sz val="16"/>
      <color rgb="FF1F3864"/>
      <name val="Malgun Gothic"/>
      <family val="2"/>
    </font>
    <font>
      <i/>
      <sz val="9"/>
      <color rgb="FF7F7F7F"/>
      <name val="Malgun Gothic"/>
      <family val="2"/>
    </font>
    <font>
      <b/>
      <sz val="10"/>
      <color rgb="FFFFFFFF"/>
      <name val="Malgun Gothic"/>
      <family val="2"/>
    </font>
    <font>
      <b/>
      <sz val="20"/>
      <color rgb="FF375623"/>
      <name val="Malgun Gothic"/>
      <family val="2"/>
    </font>
    <font>
      <b/>
      <sz val="16"/>
      <color theme="1"/>
      <name val="Malgun Gothic"/>
      <family val="2"/>
    </font>
    <font>
      <b/>
      <sz val="12"/>
      <color rgb="FF1F3864"/>
      <name val="Malgun Gothic"/>
      <family val="2"/>
    </font>
    <font>
      <sz val="10"/>
      <color rgb="FF808080"/>
      <name val="Malgun Gothic"/>
      <family val="2"/>
    </font>
    <font>
      <sz val="10"/>
      <color rgb="FF7F7F7F"/>
      <name val="Malgun Gothic"/>
      <family val="2"/>
    </font>
    <font>
      <sz val="10"/>
      <color rgb="FF595959"/>
      <name val="Malgun Gothic"/>
      <family val="2"/>
    </font>
    <font>
      <b/>
      <sz val="14"/>
      <color rgb="FF1F3864"/>
      <name val="Malgun Gothic"/>
      <family val="2"/>
    </font>
    <font>
      <sz val="9"/>
      <color rgb="FF595959"/>
      <name val="Malgun Gothic"/>
      <family val="2"/>
    </font>
    <font>
      <sz val="10"/>
      <color rgb="FF0000FF"/>
      <name val="Malgun Gothic"/>
      <family val="2"/>
    </font>
    <font>
      <b/>
      <sz val="10"/>
      <color rgb="FFC65911"/>
      <name val="Malgun Gothic"/>
      <family val="2"/>
    </font>
    <font>
      <b/>
      <sz val="13"/>
      <color rgb="FF2E75B6"/>
      <name val="Malgun Gothic"/>
      <family val="2"/>
    </font>
    <font>
      <b/>
      <sz val="10"/>
      <color rgb="FF0000FF"/>
      <name val="Malgun Gothic"/>
      <family val="2"/>
    </font>
    <font>
      <b/>
      <sz val="10"/>
      <color rgb="FF1F3864"/>
      <name val="Malgun Gothic"/>
      <family val="2"/>
    </font>
  </fonts>
  <fills count="9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</fills>
  <borders count="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horizontal="center"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 wrapText="1"/>
    </xf>
    <xf numFmtId="0" fontId="6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vertical="top" wrapText="1"/>
    </xf>
    <xf numFmtId="0" fontId="7" fillId="0" borderId="2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5" borderId="1" xfId="0" applyFont="1" applyFill="1" applyBorder="1" applyAlignment="1">
      <alignment vertical="center"/>
    </xf>
    <xf numFmtId="164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vertical="center"/>
    </xf>
    <xf numFmtId="165" fontId="0" fillId="0" borderId="1" xfId="0" applyNumberFormat="1" applyBorder="1" applyAlignment="1">
      <alignment horizontal="left" vertical="center"/>
    </xf>
    <xf numFmtId="0" fontId="9" fillId="6" borderId="3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wrapText="1"/>
    </xf>
    <xf numFmtId="166" fontId="10" fillId="7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8" fontId="11" fillId="0" borderId="1" xfId="0" applyNumberFormat="1" applyFont="1" applyBorder="1" applyAlignment="1">
      <alignment horizontal="center" vertical="center"/>
    </xf>
    <xf numFmtId="169" fontId="11" fillId="0" borderId="1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8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6" fillId="8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18" fillId="3" borderId="1" xfId="0" applyFont="1" applyFill="1" applyBorder="1" applyAlignment="1">
      <alignment vertical="center"/>
    </xf>
    <xf numFmtId="0" fontId="19" fillId="0" borderId="0" xfId="0" applyFont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6" fillId="0" borderId="5" xfId="0" applyFont="1" applyBorder="1" applyAlignment="1">
      <alignment horizontal="center" vertical="center"/>
    </xf>
    <xf numFmtId="170" fontId="6" fillId="0" borderId="5" xfId="0" applyNumberFormat="1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171" fontId="21" fillId="3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22" fillId="0" borderId="0" xfId="0" applyFont="1" applyAlignment="1">
      <alignment vertical="center"/>
    </xf>
    <xf numFmtId="0" fontId="18" fillId="3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CE4D6"/>
        </patternFill>
      </fill>
    </dxf>
    <dxf>
      <font>
        <b/>
        <color rgb="FF375623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Guide">
    <pageSetUpPr fitToPage="1"/>
  </sheetPr>
  <dimension ref="A2:J71"/>
  <sheetViews>
    <sheetView showGridLines="0" tabSelected="1" workbookViewId="0"/>
  </sheetViews>
  <sheetFormatPr defaultRowHeight="15"/>
  <cols>
    <col min="1" max="1" width="2.7109375" customWidth="1"/>
    <col min="2" max="2" width="5.7109375" customWidth="1"/>
    <col min="3" max="10" width="13.7109375" customWidth="1"/>
    <col min="11" max="11" width="2.7109375" customWidth="1"/>
  </cols>
  <sheetData>
    <row r="2" spans="2:10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</row>
    <row r="3" spans="2:10">
      <c r="B3" s="2" t="s">
        <v>1</v>
      </c>
      <c r="C3" s="2"/>
      <c r="D3" s="2"/>
      <c r="E3" s="2"/>
      <c r="F3" s="2"/>
      <c r="G3" s="2"/>
      <c r="H3" s="2"/>
      <c r="I3" s="2"/>
      <c r="J3" s="2"/>
    </row>
    <row r="4" spans="2:10" ht="52" customHeight="1"/>
    <row r="5" spans="2:10">
      <c r="B5" s="3" t="s">
        <v>2</v>
      </c>
      <c r="C5" s="3"/>
      <c r="D5" s="3"/>
      <c r="E5" s="3"/>
      <c r="F5" s="3"/>
      <c r="G5" s="3"/>
      <c r="H5" s="3"/>
      <c r="I5" s="3"/>
      <c r="J5" s="3"/>
    </row>
    <row r="8" spans="2:10" ht="24" customHeight="1">
      <c r="B8" s="4" t="s">
        <v>3</v>
      </c>
      <c r="C8" s="4"/>
      <c r="D8" s="4"/>
      <c r="E8" s="4"/>
      <c r="F8" s="4"/>
      <c r="G8" s="4"/>
      <c r="H8" s="4"/>
      <c r="I8" s="4"/>
      <c r="J8" s="4"/>
    </row>
    <row r="9" spans="2:10" ht="35" customHeight="1">
      <c r="B9" s="5" t="s">
        <v>4</v>
      </c>
      <c r="C9" s="6" t="s">
        <v>5</v>
      </c>
      <c r="D9" s="6"/>
      <c r="E9" s="6"/>
      <c r="F9" s="6"/>
      <c r="G9" s="6"/>
      <c r="H9" s="6"/>
      <c r="I9" s="6"/>
      <c r="J9" s="6"/>
    </row>
    <row r="10" spans="2:10" ht="50" customHeight="1">
      <c r="B10" s="5" t="s">
        <v>6</v>
      </c>
      <c r="C10" s="6" t="s">
        <v>7</v>
      </c>
      <c r="D10" s="6"/>
      <c r="E10" s="6"/>
      <c r="F10" s="6"/>
      <c r="G10" s="6"/>
      <c r="H10" s="6"/>
      <c r="I10" s="6"/>
      <c r="J10" s="6"/>
    </row>
    <row r="11" spans="2:10" ht="35" customHeight="1">
      <c r="B11" s="5" t="s">
        <v>8</v>
      </c>
      <c r="C11" s="6" t="s">
        <v>9</v>
      </c>
      <c r="D11" s="6"/>
      <c r="E11" s="6"/>
      <c r="F11" s="6"/>
      <c r="G11" s="6"/>
      <c r="H11" s="6"/>
      <c r="I11" s="6"/>
      <c r="J11" s="6"/>
    </row>
    <row r="13" spans="2:10" ht="24" customHeight="1">
      <c r="B13" s="4" t="s">
        <v>10</v>
      </c>
      <c r="C13" s="4"/>
      <c r="D13" s="4"/>
      <c r="E13" s="4"/>
      <c r="F13" s="4"/>
      <c r="G13" s="4"/>
      <c r="H13" s="4"/>
      <c r="I13" s="4"/>
      <c r="J13" s="4"/>
    </row>
    <row r="14" spans="2:10" ht="20" customHeight="1">
      <c r="B14" s="5" t="s">
        <v>4</v>
      </c>
      <c r="C14" s="6" t="s">
        <v>11</v>
      </c>
      <c r="D14" s="6"/>
      <c r="E14" s="6"/>
      <c r="F14" s="6"/>
      <c r="G14" s="6"/>
      <c r="H14" s="6"/>
      <c r="I14" s="6"/>
      <c r="J14" s="6"/>
    </row>
    <row r="15" spans="2:10" ht="65" customHeight="1">
      <c r="B15" s="5" t="s">
        <v>6</v>
      </c>
      <c r="C15" s="6" t="s">
        <v>12</v>
      </c>
      <c r="D15" s="6"/>
      <c r="E15" s="6"/>
      <c r="F15" s="6"/>
      <c r="G15" s="6"/>
      <c r="H15" s="6"/>
      <c r="I15" s="6"/>
      <c r="J15" s="6"/>
    </row>
    <row r="16" spans="2:10" ht="20" customHeight="1">
      <c r="B16" s="5" t="s">
        <v>8</v>
      </c>
      <c r="C16" s="6" t="s">
        <v>13</v>
      </c>
      <c r="D16" s="6"/>
      <c r="E16" s="6"/>
      <c r="F16" s="6"/>
      <c r="G16" s="6"/>
      <c r="H16" s="6"/>
      <c r="I16" s="6"/>
      <c r="J16" s="6"/>
    </row>
    <row r="18" spans="2:10" ht="24" customHeight="1">
      <c r="B18" s="4" t="s">
        <v>14</v>
      </c>
      <c r="C18" s="4"/>
      <c r="D18" s="4"/>
      <c r="E18" s="4"/>
      <c r="F18" s="4"/>
      <c r="G18" s="4"/>
      <c r="H18" s="4"/>
      <c r="I18" s="4"/>
      <c r="J18" s="4"/>
    </row>
    <row r="19" spans="2:10" ht="50" customHeight="1">
      <c r="B19" s="5" t="s">
        <v>4</v>
      </c>
      <c r="C19" s="6" t="s">
        <v>15</v>
      </c>
      <c r="D19" s="6"/>
      <c r="E19" s="6"/>
      <c r="F19" s="6"/>
      <c r="G19" s="6"/>
      <c r="H19" s="6"/>
      <c r="I19" s="6"/>
      <c r="J19" s="6"/>
    </row>
    <row r="20" spans="2:10" ht="35" customHeight="1">
      <c r="B20" s="5" t="s">
        <v>6</v>
      </c>
      <c r="C20" s="6" t="s">
        <v>16</v>
      </c>
      <c r="D20" s="6"/>
      <c r="E20" s="6"/>
      <c r="F20" s="6"/>
      <c r="G20" s="6"/>
      <c r="H20" s="6"/>
      <c r="I20" s="6"/>
      <c r="J20" s="6"/>
    </row>
    <row r="21" spans="2:10" ht="35" customHeight="1">
      <c r="B21" s="5" t="s">
        <v>8</v>
      </c>
      <c r="C21" s="6" t="s">
        <v>17</v>
      </c>
      <c r="D21" s="6"/>
      <c r="E21" s="6"/>
      <c r="F21" s="6"/>
      <c r="G21" s="6"/>
      <c r="H21" s="6"/>
      <c r="I21" s="6"/>
      <c r="J21" s="6"/>
    </row>
    <row r="22" spans="2:10" ht="20" customHeight="1">
      <c r="B22" s="5" t="s">
        <v>18</v>
      </c>
      <c r="C22" s="6" t="s">
        <v>19</v>
      </c>
      <c r="D22" s="6"/>
      <c r="E22" s="6"/>
      <c r="F22" s="6"/>
      <c r="G22" s="6"/>
      <c r="H22" s="6"/>
      <c r="I22" s="6"/>
      <c r="J22" s="6"/>
    </row>
    <row r="23" spans="2:10" ht="65" customHeight="1">
      <c r="C23" s="7" t="s">
        <v>20</v>
      </c>
      <c r="D23" s="7"/>
      <c r="E23" s="7"/>
      <c r="F23" s="7"/>
      <c r="G23" s="7"/>
      <c r="H23" s="7"/>
      <c r="I23" s="7"/>
      <c r="J23" s="7"/>
    </row>
    <row r="25" spans="2:10" ht="24" customHeight="1">
      <c r="B25" s="4" t="s">
        <v>21</v>
      </c>
      <c r="C25" s="4"/>
      <c r="D25" s="4"/>
      <c r="E25" s="4"/>
      <c r="F25" s="4"/>
      <c r="G25" s="4"/>
      <c r="H25" s="4"/>
      <c r="I25" s="4"/>
      <c r="J25" s="4"/>
    </row>
    <row r="26" spans="2:10" ht="20" customHeight="1">
      <c r="C26" s="8" t="s">
        <v>22</v>
      </c>
      <c r="D26" s="8"/>
      <c r="E26" s="8" t="s">
        <v>23</v>
      </c>
      <c r="F26" s="8"/>
      <c r="G26" s="8"/>
      <c r="H26" s="8"/>
      <c r="I26" s="8"/>
      <c r="J26" s="8"/>
    </row>
    <row r="27" spans="2:10" ht="50" customHeight="1">
      <c r="C27" s="9" t="s">
        <v>24</v>
      </c>
      <c r="D27" s="9"/>
      <c r="E27" s="9" t="s">
        <v>25</v>
      </c>
      <c r="F27" s="9"/>
      <c r="G27" s="9"/>
      <c r="H27" s="9"/>
      <c r="I27" s="9"/>
      <c r="J27" s="9"/>
    </row>
    <row r="28" spans="2:10" ht="35" customHeight="1">
      <c r="C28" s="9" t="s">
        <v>26</v>
      </c>
      <c r="D28" s="9"/>
      <c r="E28" s="9" t="s">
        <v>27</v>
      </c>
      <c r="F28" s="9"/>
      <c r="G28" s="9"/>
      <c r="H28" s="9"/>
      <c r="I28" s="9"/>
      <c r="J28" s="9"/>
    </row>
    <row r="30" spans="2:10" ht="24" customHeight="1">
      <c r="B30" s="4" t="s">
        <v>28</v>
      </c>
      <c r="C30" s="4"/>
      <c r="D30" s="4"/>
      <c r="E30" s="4"/>
      <c r="F30" s="4"/>
      <c r="G30" s="4"/>
      <c r="H30" s="4"/>
      <c r="I30" s="4"/>
      <c r="J30" s="4"/>
    </row>
    <row r="31" spans="2:10" ht="50" customHeight="1">
      <c r="C31" s="6" t="s">
        <v>29</v>
      </c>
      <c r="D31" s="6"/>
      <c r="E31" s="6"/>
      <c r="F31" s="6"/>
      <c r="G31" s="6"/>
      <c r="H31" s="6"/>
      <c r="I31" s="6"/>
      <c r="J31" s="6"/>
    </row>
    <row r="32" spans="2:10" ht="50" customHeight="1">
      <c r="C32" s="7" t="s">
        <v>30</v>
      </c>
      <c r="D32" s="7"/>
      <c r="E32" s="7"/>
      <c r="F32" s="7"/>
      <c r="G32" s="7"/>
      <c r="H32" s="7"/>
      <c r="I32" s="7"/>
      <c r="J32" s="7"/>
    </row>
    <row r="33" spans="2:10" ht="20" customHeight="1">
      <c r="C33" s="8" t="s">
        <v>31</v>
      </c>
      <c r="D33" s="8"/>
      <c r="E33" s="8" t="s">
        <v>32</v>
      </c>
      <c r="F33" s="8" t="s">
        <v>33</v>
      </c>
      <c r="G33" s="8" t="s">
        <v>34</v>
      </c>
      <c r="H33" s="8"/>
      <c r="I33" s="8" t="s">
        <v>35</v>
      </c>
      <c r="J33" s="8"/>
    </row>
    <row r="34" spans="2:10" ht="20" customHeight="1">
      <c r="C34" s="9" t="s">
        <v>36</v>
      </c>
      <c r="D34" s="9"/>
      <c r="E34" s="10" t="s">
        <v>37</v>
      </c>
      <c r="F34" s="10" t="s">
        <v>38</v>
      </c>
      <c r="G34" s="9" t="s">
        <v>39</v>
      </c>
      <c r="H34" s="9"/>
      <c r="I34" s="9" t="s">
        <v>40</v>
      </c>
      <c r="J34" s="9"/>
    </row>
    <row r="35" spans="2:10" ht="20" customHeight="1">
      <c r="C35" s="9" t="s">
        <v>41</v>
      </c>
      <c r="D35" s="9"/>
      <c r="E35" s="10" t="s">
        <v>42</v>
      </c>
      <c r="F35" s="10" t="s">
        <v>43</v>
      </c>
      <c r="G35" s="9" t="s">
        <v>44</v>
      </c>
      <c r="H35" s="9"/>
      <c r="I35" s="9" t="s">
        <v>45</v>
      </c>
      <c r="J35" s="9"/>
    </row>
    <row r="36" spans="2:10" ht="20" customHeight="1">
      <c r="C36" s="9" t="s">
        <v>46</v>
      </c>
      <c r="D36" s="9"/>
      <c r="E36" s="10" t="s">
        <v>47</v>
      </c>
      <c r="F36" s="10" t="s">
        <v>48</v>
      </c>
      <c r="G36" s="9" t="s">
        <v>49</v>
      </c>
      <c r="H36" s="9"/>
      <c r="I36" s="9" t="s">
        <v>50</v>
      </c>
      <c r="J36" s="9"/>
    </row>
    <row r="37" spans="2:10" ht="20" customHeight="1">
      <c r="C37" s="7" t="s">
        <v>51</v>
      </c>
      <c r="D37" s="7"/>
      <c r="E37" s="7"/>
      <c r="F37" s="7"/>
      <c r="G37" s="7"/>
      <c r="H37" s="7"/>
      <c r="I37" s="7"/>
      <c r="J37" s="7"/>
    </row>
    <row r="38" spans="2:10" ht="50" customHeight="1">
      <c r="C38" s="11" t="s">
        <v>52</v>
      </c>
      <c r="D38" s="11"/>
      <c r="E38" s="11"/>
      <c r="F38" s="11"/>
      <c r="G38" s="11"/>
      <c r="H38" s="11"/>
      <c r="I38" s="11"/>
      <c r="J38" s="11"/>
    </row>
    <row r="40" spans="2:10" ht="24" customHeight="1">
      <c r="B40" s="4" t="s">
        <v>53</v>
      </c>
      <c r="C40" s="4"/>
      <c r="D40" s="4"/>
      <c r="E40" s="4"/>
      <c r="F40" s="4"/>
      <c r="G40" s="4"/>
      <c r="H40" s="4"/>
      <c r="I40" s="4"/>
      <c r="J40" s="4"/>
    </row>
    <row r="41" spans="2:10" ht="20" customHeight="1">
      <c r="C41" s="8" t="s">
        <v>54</v>
      </c>
      <c r="D41" s="8"/>
      <c r="E41" s="8" t="s">
        <v>55</v>
      </c>
      <c r="F41" s="8"/>
      <c r="G41" s="8"/>
      <c r="H41" s="8" t="s">
        <v>56</v>
      </c>
      <c r="I41" s="8"/>
      <c r="J41" s="8"/>
    </row>
    <row r="42" spans="2:10" ht="50" customHeight="1">
      <c r="C42" s="9" t="s">
        <v>57</v>
      </c>
      <c r="D42" s="9"/>
      <c r="E42" s="9" t="s">
        <v>58</v>
      </c>
      <c r="F42" s="9"/>
      <c r="G42" s="9"/>
      <c r="H42" s="9" t="s">
        <v>59</v>
      </c>
      <c r="I42" s="9"/>
      <c r="J42" s="9"/>
    </row>
    <row r="43" spans="2:10" ht="50" customHeight="1">
      <c r="C43" s="9" t="s">
        <v>60</v>
      </c>
      <c r="D43" s="9"/>
      <c r="E43" s="9" t="s">
        <v>61</v>
      </c>
      <c r="F43" s="9"/>
      <c r="G43" s="9"/>
      <c r="H43" s="9" t="s">
        <v>62</v>
      </c>
      <c r="I43" s="9"/>
      <c r="J43" s="9"/>
    </row>
    <row r="44" spans="2:10" ht="35" customHeight="1">
      <c r="C44" s="9" t="s">
        <v>63</v>
      </c>
      <c r="D44" s="9"/>
      <c r="E44" s="9" t="s">
        <v>64</v>
      </c>
      <c r="F44" s="9"/>
      <c r="G44" s="9"/>
      <c r="H44" s="9" t="s">
        <v>65</v>
      </c>
      <c r="I44" s="9"/>
      <c r="J44" s="9"/>
    </row>
    <row r="45" spans="2:10" ht="20" customHeight="1">
      <c r="C45" s="9" t="s">
        <v>66</v>
      </c>
      <c r="D45" s="9"/>
      <c r="E45" s="9" t="s">
        <v>67</v>
      </c>
      <c r="F45" s="9"/>
      <c r="G45" s="9"/>
      <c r="H45" s="9" t="s">
        <v>68</v>
      </c>
      <c r="I45" s="9"/>
      <c r="J45" s="9"/>
    </row>
    <row r="46" spans="2:10" ht="20" customHeight="1">
      <c r="C46" s="9" t="s">
        <v>69</v>
      </c>
      <c r="D46" s="9"/>
      <c r="E46" s="9" t="s">
        <v>70</v>
      </c>
      <c r="F46" s="9"/>
      <c r="G46" s="9"/>
      <c r="H46" s="9" t="s">
        <v>68</v>
      </c>
      <c r="I46" s="9"/>
      <c r="J46" s="9"/>
    </row>
    <row r="47" spans="2:10" ht="35" customHeight="1">
      <c r="C47" s="9" t="s">
        <v>71</v>
      </c>
      <c r="D47" s="9"/>
      <c r="E47" s="9" t="s">
        <v>72</v>
      </c>
      <c r="F47" s="9"/>
      <c r="G47" s="9"/>
      <c r="H47" s="9" t="s">
        <v>73</v>
      </c>
      <c r="I47" s="9"/>
      <c r="J47" s="9"/>
    </row>
    <row r="48" spans="2:10" ht="35" customHeight="1">
      <c r="C48" s="7" t="s">
        <v>74</v>
      </c>
      <c r="D48" s="7"/>
      <c r="E48" s="7"/>
      <c r="F48" s="7"/>
      <c r="G48" s="7"/>
      <c r="H48" s="7"/>
      <c r="I48" s="7"/>
      <c r="J48" s="7"/>
    </row>
    <row r="50" spans="2:10" ht="24" customHeight="1">
      <c r="B50" s="4" t="s">
        <v>75</v>
      </c>
      <c r="C50" s="4"/>
      <c r="D50" s="4"/>
      <c r="E50" s="4"/>
      <c r="F50" s="4"/>
      <c r="G50" s="4"/>
      <c r="H50" s="4"/>
      <c r="I50" s="4"/>
      <c r="J50" s="4"/>
    </row>
    <row r="51" spans="2:10" ht="20" customHeight="1">
      <c r="C51" s="8" t="s">
        <v>76</v>
      </c>
      <c r="D51" s="8"/>
      <c r="E51" s="8" t="s">
        <v>77</v>
      </c>
      <c r="F51" s="8"/>
      <c r="G51" s="8"/>
      <c r="H51" s="8"/>
      <c r="I51" s="8"/>
      <c r="J51" s="8"/>
    </row>
    <row r="52" spans="2:10" ht="50" customHeight="1">
      <c r="C52" s="9" t="s">
        <v>78</v>
      </c>
      <c r="D52" s="9"/>
      <c r="E52" s="9" t="s">
        <v>79</v>
      </c>
      <c r="F52" s="9"/>
      <c r="G52" s="9"/>
      <c r="H52" s="9"/>
      <c r="I52" s="9"/>
      <c r="J52" s="9"/>
    </row>
    <row r="53" spans="2:10" ht="95" customHeight="1">
      <c r="C53" s="9" t="s">
        <v>80</v>
      </c>
      <c r="D53" s="9"/>
      <c r="E53" s="9" t="s">
        <v>81</v>
      </c>
      <c r="F53" s="9"/>
      <c r="G53" s="9"/>
      <c r="H53" s="9"/>
      <c r="I53" s="9"/>
      <c r="J53" s="9"/>
    </row>
    <row r="54" spans="2:10" ht="65" customHeight="1">
      <c r="C54" s="9" t="s">
        <v>82</v>
      </c>
      <c r="D54" s="9"/>
      <c r="E54" s="9" t="s">
        <v>83</v>
      </c>
      <c r="F54" s="9"/>
      <c r="G54" s="9"/>
      <c r="H54" s="9"/>
      <c r="I54" s="9"/>
      <c r="J54" s="9"/>
    </row>
    <row r="55" spans="2:10" ht="35" customHeight="1">
      <c r="C55" s="9" t="s">
        <v>84</v>
      </c>
      <c r="D55" s="9"/>
      <c r="E55" s="9" t="s">
        <v>85</v>
      </c>
      <c r="F55" s="9"/>
      <c r="G55" s="9"/>
      <c r="H55" s="9"/>
      <c r="I55" s="9"/>
      <c r="J55" s="9"/>
    </row>
    <row r="57" spans="2:10" ht="24" customHeight="1">
      <c r="B57" s="4" t="s">
        <v>86</v>
      </c>
      <c r="C57" s="4"/>
      <c r="D57" s="4"/>
      <c r="E57" s="4"/>
      <c r="F57" s="4"/>
      <c r="G57" s="4"/>
      <c r="H57" s="4"/>
      <c r="I57" s="4"/>
      <c r="J57" s="4"/>
    </row>
    <row r="58" spans="2:10" ht="20" customHeight="1">
      <c r="B58" s="5" t="s">
        <v>87</v>
      </c>
      <c r="C58" s="6" t="s">
        <v>88</v>
      </c>
      <c r="D58" s="6"/>
      <c r="E58" s="6"/>
      <c r="F58" s="6"/>
      <c r="G58" s="6"/>
      <c r="H58" s="6"/>
      <c r="I58" s="6"/>
      <c r="J58" s="6"/>
    </row>
    <row r="59" spans="2:10" ht="20" customHeight="1">
      <c r="B59" s="5" t="s">
        <v>87</v>
      </c>
      <c r="C59" s="6" t="s">
        <v>89</v>
      </c>
      <c r="D59" s="6"/>
      <c r="E59" s="6"/>
      <c r="F59" s="6"/>
      <c r="G59" s="6"/>
      <c r="H59" s="6"/>
      <c r="I59" s="6"/>
      <c r="J59" s="6"/>
    </row>
    <row r="60" spans="2:10" ht="35" customHeight="1">
      <c r="B60" s="5" t="s">
        <v>87</v>
      </c>
      <c r="C60" s="6" t="s">
        <v>90</v>
      </c>
      <c r="D60" s="6"/>
      <c r="E60" s="6"/>
      <c r="F60" s="6"/>
      <c r="G60" s="6"/>
      <c r="H60" s="6"/>
      <c r="I60" s="6"/>
      <c r="J60" s="6"/>
    </row>
    <row r="62" spans="2:10" ht="24" customHeight="1">
      <c r="B62" s="4" t="s">
        <v>91</v>
      </c>
      <c r="C62" s="4"/>
      <c r="D62" s="4"/>
      <c r="E62" s="4"/>
      <c r="F62" s="4"/>
      <c r="G62" s="4"/>
      <c r="H62" s="4"/>
      <c r="I62" s="4"/>
      <c r="J62" s="4"/>
    </row>
    <row r="63" spans="2:10" ht="20" customHeight="1">
      <c r="C63" s="8" t="s">
        <v>22</v>
      </c>
      <c r="D63" s="8"/>
      <c r="E63" s="8" t="s">
        <v>92</v>
      </c>
      <c r="F63" s="8"/>
      <c r="G63" s="8"/>
      <c r="H63" s="8"/>
      <c r="I63" s="8"/>
      <c r="J63" s="8"/>
    </row>
    <row r="64" spans="2:10" ht="20" customHeight="1">
      <c r="C64" s="9" t="s">
        <v>93</v>
      </c>
      <c r="D64" s="9"/>
      <c r="E64" s="9" t="s">
        <v>94</v>
      </c>
      <c r="F64" s="9"/>
      <c r="G64" s="9"/>
      <c r="H64" s="9"/>
      <c r="I64" s="9"/>
      <c r="J64" s="9"/>
    </row>
    <row r="65" spans="2:10" ht="20" customHeight="1">
      <c r="C65" s="9" t="s">
        <v>24</v>
      </c>
      <c r="D65" s="9"/>
      <c r="E65" s="9" t="s">
        <v>95</v>
      </c>
      <c r="F65" s="9"/>
      <c r="G65" s="9"/>
      <c r="H65" s="9"/>
      <c r="I65" s="9"/>
      <c r="J65" s="9"/>
    </row>
    <row r="66" spans="2:10" ht="20" customHeight="1">
      <c r="C66" s="9" t="s">
        <v>26</v>
      </c>
      <c r="D66" s="9"/>
      <c r="E66" s="9" t="s">
        <v>96</v>
      </c>
      <c r="F66" s="9"/>
      <c r="G66" s="9"/>
      <c r="H66" s="9"/>
      <c r="I66" s="9"/>
      <c r="J66" s="9"/>
    </row>
    <row r="67" spans="2:10" ht="20" customHeight="1">
      <c r="C67" s="9" t="s">
        <v>97</v>
      </c>
      <c r="D67" s="9"/>
      <c r="E67" s="9" t="s">
        <v>98</v>
      </c>
      <c r="F67" s="9"/>
      <c r="G67" s="9"/>
      <c r="H67" s="9"/>
      <c r="I67" s="9"/>
      <c r="J67" s="9"/>
    </row>
    <row r="68" spans="2:10" ht="20" customHeight="1">
      <c r="C68" s="9" t="s">
        <v>99</v>
      </c>
      <c r="D68" s="9"/>
      <c r="E68" s="9" t="s">
        <v>100</v>
      </c>
      <c r="F68" s="9"/>
      <c r="G68" s="9"/>
      <c r="H68" s="9"/>
      <c r="I68" s="9"/>
      <c r="J68" s="9"/>
    </row>
    <row r="69" spans="2:10" ht="20" customHeight="1">
      <c r="C69" s="9" t="s">
        <v>101</v>
      </c>
      <c r="D69" s="9"/>
      <c r="E69" s="9" t="s">
        <v>102</v>
      </c>
      <c r="F69" s="9"/>
      <c r="G69" s="9"/>
      <c r="H69" s="9"/>
      <c r="I69" s="9"/>
      <c r="J69" s="9"/>
    </row>
    <row r="71" spans="2:10" ht="30" customHeight="1">
      <c r="B71" s="11" t="s">
        <v>103</v>
      </c>
      <c r="C71" s="11"/>
      <c r="D71" s="11"/>
      <c r="E71" s="11"/>
      <c r="F71" s="11"/>
      <c r="G71" s="11"/>
      <c r="H71" s="11"/>
      <c r="I71" s="11"/>
      <c r="J71" s="11"/>
    </row>
  </sheetData>
  <mergeCells count="95">
    <mergeCell ref="B2:J2"/>
    <mergeCell ref="B3:J3"/>
    <mergeCell ref="B5:J5"/>
    <mergeCell ref="B8:J8"/>
    <mergeCell ref="C9:J9"/>
    <mergeCell ref="C10:J10"/>
    <mergeCell ref="C11:J11"/>
    <mergeCell ref="B13:J13"/>
    <mergeCell ref="C14:J14"/>
    <mergeCell ref="C15:J15"/>
    <mergeCell ref="C16:J16"/>
    <mergeCell ref="B18:J18"/>
    <mergeCell ref="C19:J19"/>
    <mergeCell ref="C20:J20"/>
    <mergeCell ref="C21:J21"/>
    <mergeCell ref="C22:J22"/>
    <mergeCell ref="C23:J23"/>
    <mergeCell ref="B25:J25"/>
    <mergeCell ref="C26:D26"/>
    <mergeCell ref="E26:J26"/>
    <mergeCell ref="C27:D27"/>
    <mergeCell ref="E27:J27"/>
    <mergeCell ref="C28:D28"/>
    <mergeCell ref="E28:J28"/>
    <mergeCell ref="B30:J30"/>
    <mergeCell ref="C31:J31"/>
    <mergeCell ref="C32:J32"/>
    <mergeCell ref="C33:D33"/>
    <mergeCell ref="G33:H33"/>
    <mergeCell ref="I33:J33"/>
    <mergeCell ref="C34:D34"/>
    <mergeCell ref="G34:H34"/>
    <mergeCell ref="I34:J34"/>
    <mergeCell ref="C35:D35"/>
    <mergeCell ref="G35:H35"/>
    <mergeCell ref="I35:J35"/>
    <mergeCell ref="C36:D36"/>
    <mergeCell ref="G36:H36"/>
    <mergeCell ref="I36:J36"/>
    <mergeCell ref="C37:J37"/>
    <mergeCell ref="C38:J38"/>
    <mergeCell ref="B40:J40"/>
    <mergeCell ref="C41:D41"/>
    <mergeCell ref="E41:G41"/>
    <mergeCell ref="H41:J41"/>
    <mergeCell ref="C42:D42"/>
    <mergeCell ref="E42:G42"/>
    <mergeCell ref="H42:J42"/>
    <mergeCell ref="C43:D43"/>
    <mergeCell ref="E43:G43"/>
    <mergeCell ref="H43:J43"/>
    <mergeCell ref="C44:D44"/>
    <mergeCell ref="E44:G44"/>
    <mergeCell ref="H44:J44"/>
    <mergeCell ref="C45:D45"/>
    <mergeCell ref="E45:G45"/>
    <mergeCell ref="H45:J45"/>
    <mergeCell ref="C46:D46"/>
    <mergeCell ref="E46:G46"/>
    <mergeCell ref="H46:J46"/>
    <mergeCell ref="C47:D47"/>
    <mergeCell ref="E47:G47"/>
    <mergeCell ref="H47:J47"/>
    <mergeCell ref="C48:J48"/>
    <mergeCell ref="B50:J50"/>
    <mergeCell ref="C51:D51"/>
    <mergeCell ref="E51:J51"/>
    <mergeCell ref="C52:D52"/>
    <mergeCell ref="E52:J52"/>
    <mergeCell ref="C53:D53"/>
    <mergeCell ref="E53:J53"/>
    <mergeCell ref="C54:D54"/>
    <mergeCell ref="E54:J54"/>
    <mergeCell ref="C55:D55"/>
    <mergeCell ref="E55:J55"/>
    <mergeCell ref="B57:J57"/>
    <mergeCell ref="C58:J58"/>
    <mergeCell ref="C59:J59"/>
    <mergeCell ref="C60:J60"/>
    <mergeCell ref="B62:J62"/>
    <mergeCell ref="C63:D63"/>
    <mergeCell ref="E63:J63"/>
    <mergeCell ref="C64:D64"/>
    <mergeCell ref="E64:J64"/>
    <mergeCell ref="C65:D65"/>
    <mergeCell ref="E65:J65"/>
    <mergeCell ref="C66:D66"/>
    <mergeCell ref="E66:J66"/>
    <mergeCell ref="C67:D67"/>
    <mergeCell ref="E67:J67"/>
    <mergeCell ref="C68:D68"/>
    <mergeCell ref="E68:J68"/>
    <mergeCell ref="C69:D69"/>
    <mergeCell ref="E69:J69"/>
    <mergeCell ref="B71:J71"/>
  </mergeCells>
  <pageMargins left="0.4" right="0.4" top="0.5" bottom="0.5" header="0.3" footer="0.3"/>
  <pageSetup paperSize="9" fitToHeight="0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Summary">
    <pageSetUpPr fitToPage="1"/>
  </sheetPr>
  <dimension ref="A2:H12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13.7109375" customWidth="1"/>
    <col min="4" max="4" width="15.7109375" customWidth="1"/>
    <col min="5" max="5" width="14.7109375" customWidth="1"/>
    <col min="6" max="6" width="18.7109375" customWidth="1"/>
    <col min="7" max="7" width="14.7109375" customWidth="1"/>
    <col min="8" max="8" width="22.7109375" customWidth="1"/>
    <col min="9" max="9" width="3.7109375" customWidth="1"/>
    <col min="10" max="10" width="14.7109375" customWidth="1"/>
  </cols>
  <sheetData>
    <row r="2" spans="2:8" ht="32" customHeight="1">
      <c r="B2" s="12" t="s">
        <v>104</v>
      </c>
      <c r="C2" s="12"/>
      <c r="D2" s="12"/>
      <c r="E2" s="12"/>
      <c r="F2" s="12"/>
      <c r="G2" s="12"/>
      <c r="H2" s="12"/>
    </row>
    <row r="3" spans="2:8">
      <c r="B3" s="13" t="s">
        <v>105</v>
      </c>
      <c r="C3" s="13"/>
      <c r="D3" s="13"/>
      <c r="E3" s="13"/>
      <c r="F3" s="13"/>
      <c r="G3" s="13"/>
      <c r="H3" s="13"/>
    </row>
    <row r="4" spans="2:8">
      <c r="B4" s="14" t="s">
        <v>106</v>
      </c>
      <c r="C4" s="15"/>
      <c r="D4" s="15"/>
      <c r="E4" s="14" t="s">
        <v>107</v>
      </c>
      <c r="F4" s="16"/>
      <c r="G4" s="16"/>
      <c r="H4" s="16"/>
    </row>
    <row r="5" spans="2:8">
      <c r="B5" s="14" t="s">
        <v>108</v>
      </c>
      <c r="C5" s="16" t="s">
        <v>109</v>
      </c>
      <c r="D5" s="16"/>
      <c r="E5" s="14" t="s">
        <v>110</v>
      </c>
      <c r="F5" s="17">
        <f>setFactor</f>
        <v>1.2</v>
      </c>
      <c r="G5" s="16"/>
      <c r="H5" s="16"/>
    </row>
    <row r="7" spans="2:8" ht="30" customHeight="1">
      <c r="B7" s="18" t="s">
        <v>111</v>
      </c>
      <c r="C7" s="18"/>
      <c r="D7" s="19" t="s">
        <v>112</v>
      </c>
      <c r="E7" s="19" t="s">
        <v>113</v>
      </c>
      <c r="F7" s="19" t="s">
        <v>114</v>
      </c>
      <c r="G7" s="19" t="s">
        <v>115</v>
      </c>
      <c r="H7" s="19" t="s">
        <v>116</v>
      </c>
    </row>
    <row r="8" spans="2:8" ht="40" customHeight="1">
      <c r="B8" s="20"/>
      <c r="C8" s="20"/>
      <c r="D8" s="21"/>
      <c r="E8" s="22"/>
      <c r="F8" s="23"/>
      <c r="G8" s="23"/>
      <c r="H8" s="24"/>
    </row>
    <row r="10" spans="2:8" ht="22" customHeight="1">
      <c r="B10" s="25" t="s">
        <v>117</v>
      </c>
    </row>
    <row r="11" spans="2:8" ht="34" customHeight="1">
      <c r="B11" s="26" t="s">
        <v>118</v>
      </c>
      <c r="C11" s="26" t="s">
        <v>114</v>
      </c>
      <c r="D11" s="26" t="s">
        <v>115</v>
      </c>
      <c r="E11" s="26" t="s">
        <v>119</v>
      </c>
      <c r="F11" s="26" t="s">
        <v>120</v>
      </c>
      <c r="G11" s="26" t="s">
        <v>116</v>
      </c>
      <c r="H11" s="26" t="s">
        <v>121</v>
      </c>
    </row>
    <row r="12" spans="2:8">
      <c r="B12" s="27" t="s">
        <v>122</v>
      </c>
    </row>
  </sheetData>
  <mergeCells count="8">
    <mergeCell ref="B2:H2"/>
    <mergeCell ref="B3:H3"/>
    <mergeCell ref="C4:D4"/>
    <mergeCell ref="F4:H4"/>
    <mergeCell ref="C5:D5"/>
    <mergeCell ref="F5:H5"/>
    <mergeCell ref="B7:C7"/>
    <mergeCell ref="B8:C8"/>
  </mergeCells>
  <printOptions horizontalCentered="1"/>
  <pageMargins left="0.4" right="0.4" top="0.6" bottom="0.6" header="0.3" footer="0.3"/>
  <pageSetup paperSize="9" fitToHeight="0" orientation="portrait"/>
  <headerFooter>
    <oddFooter>&amp;C&amp;8&amp;P / &amp;N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Detail">
    <pageSetUpPr fitToPage="1"/>
  </sheetPr>
  <dimension ref="A1:O4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6.7109375" style="28" customWidth="1"/>
    <col min="2" max="2" width="16.7109375" style="29" customWidth="1"/>
    <col min="3" max="3" width="52.7109375" style="29" customWidth="1"/>
    <col min="4" max="4" width="9.7109375" style="30" customWidth="1"/>
    <col min="5" max="5" width="10.7109375" style="28" customWidth="1"/>
    <col min="6" max="6" width="9.7109375" style="31" customWidth="1"/>
    <col min="7" max="7" width="15.7109375" style="28" customWidth="1"/>
    <col min="8" max="8" width="10.7109375" style="28" customWidth="1"/>
    <col min="9" max="10" width="10.7109375" style="30" customWidth="1"/>
    <col min="11" max="11" width="9.7109375" style="30" customWidth="1"/>
    <col min="12" max="12" width="11.7109375" style="32" customWidth="1"/>
    <col min="13" max="13" width="20.7109375" style="28" customWidth="1"/>
    <col min="14" max="14" width="9.7109375" style="33" customWidth="1"/>
    <col min="15" max="15" width="44.7109375" style="34" customWidth="1"/>
  </cols>
  <sheetData>
    <row r="1" spans="1:15">
      <c r="A1" s="35" t="s">
        <v>123</v>
      </c>
    </row>
    <row r="2" spans="1:15">
      <c r="A2" s="36" t="s">
        <v>124</v>
      </c>
    </row>
    <row r="4" spans="1:15" ht="34" customHeight="1">
      <c r="A4" s="8" t="s">
        <v>125</v>
      </c>
      <c r="B4" s="8" t="s">
        <v>118</v>
      </c>
      <c r="C4" s="8" t="s">
        <v>126</v>
      </c>
      <c r="D4" s="37" t="s">
        <v>32</v>
      </c>
      <c r="E4" s="37" t="s">
        <v>127</v>
      </c>
      <c r="F4" s="37" t="s">
        <v>128</v>
      </c>
      <c r="G4" s="8" t="s">
        <v>129</v>
      </c>
      <c r="H4" s="8" t="s">
        <v>130</v>
      </c>
      <c r="I4" s="8" t="s">
        <v>131</v>
      </c>
      <c r="J4" s="8" t="s">
        <v>132</v>
      </c>
      <c r="K4" s="8" t="s">
        <v>34</v>
      </c>
      <c r="L4" s="8" t="s">
        <v>35</v>
      </c>
      <c r="M4" s="8" t="s">
        <v>54</v>
      </c>
      <c r="N4" s="8" t="s">
        <v>133</v>
      </c>
      <c r="O4" s="8" t="s">
        <v>121</v>
      </c>
    </row>
  </sheetData>
  <conditionalFormatting sqref="A5:O60000">
    <cfRule type="expression" dxfId="0" priority="1">
      <formula>AND($A5&lt;&gt;"",$M5&lt;&gt;"OK")</formula>
    </cfRule>
  </conditionalFormatting>
  <conditionalFormatting sqref="M5:M60000">
    <cfRule type="cellIs" dxfId="1" priority="2" operator="equal">
      <formula>"OK"</formula>
    </cfRule>
  </conditionalFormatting>
  <pageMargins left="0.7" right="0.7" top="0.75" bottom="0.75" header="0.3" footer="0.3"/>
  <pageSetup paperSize="9"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Input">
    <pageSetUpPr fitToPage="1"/>
  </sheetPr>
  <dimension ref="A1:I12"/>
  <sheetViews>
    <sheetView workbookViewId="0"/>
  </sheetViews>
  <sheetFormatPr defaultRowHeight="15"/>
  <cols>
    <col min="1" max="1" width="10.7109375" customWidth="1"/>
    <col min="2" max="2" width="18.7109375" customWidth="1"/>
    <col min="3" max="3" width="30.7109375" customWidth="1"/>
    <col min="4" max="4" width="46.7109375" customWidth="1"/>
    <col min="5" max="5" width="9.7109375" customWidth="1"/>
    <col min="6" max="6" width="8.7109375" customWidth="1"/>
    <col min="7" max="7" width="6.7109375" customWidth="1"/>
    <col min="8" max="8" width="12.7109375" customWidth="1"/>
    <col min="9" max="9" width="16.7109375" customWidth="1"/>
  </cols>
  <sheetData>
    <row r="1" spans="1:9" ht="22" customHeight="1">
      <c r="A1" s="35" t="s">
        <v>134</v>
      </c>
    </row>
    <row r="2" spans="1:9" ht="22" customHeight="1">
      <c r="A2" s="34" t="s">
        <v>135</v>
      </c>
    </row>
    <row r="3" spans="1:9" ht="22" customHeight="1">
      <c r="A3" s="38" t="s">
        <v>136</v>
      </c>
      <c r="B3" s="39" t="s">
        <v>137</v>
      </c>
      <c r="C3" s="3" t="s">
        <v>138</v>
      </c>
    </row>
    <row r="4" spans="1:9">
      <c r="A4" s="40" t="s">
        <v>139</v>
      </c>
    </row>
    <row r="5" spans="1:9">
      <c r="A5" s="41" t="s">
        <v>140</v>
      </c>
      <c r="B5" s="41" t="s">
        <v>141</v>
      </c>
      <c r="C5" s="41" t="s">
        <v>142</v>
      </c>
      <c r="D5" s="41" t="s">
        <v>143</v>
      </c>
      <c r="E5" s="41" t="s">
        <v>32</v>
      </c>
      <c r="F5" s="41" t="s">
        <v>144</v>
      </c>
      <c r="G5" s="41" t="s">
        <v>145</v>
      </c>
      <c r="H5" s="41" t="s">
        <v>146</v>
      </c>
      <c r="I5" s="41" t="s">
        <v>147</v>
      </c>
    </row>
    <row r="6" spans="1:9">
      <c r="A6" s="42">
        <v>1</v>
      </c>
      <c r="B6" s="16" t="s">
        <v>148</v>
      </c>
      <c r="C6" s="16" t="s">
        <v>149</v>
      </c>
      <c r="D6" s="16" t="s">
        <v>150</v>
      </c>
      <c r="E6" s="42">
        <v>250</v>
      </c>
      <c r="F6" s="42">
        <v>0.24</v>
      </c>
      <c r="G6" s="16" t="s">
        <v>151</v>
      </c>
      <c r="H6" s="16" t="s">
        <v>152</v>
      </c>
      <c r="I6" s="16" t="s">
        <v>153</v>
      </c>
    </row>
    <row r="7" spans="1:9">
      <c r="A7" s="42">
        <v>2</v>
      </c>
      <c r="B7" s="16" t="s">
        <v>154</v>
      </c>
      <c r="C7" s="16" t="s">
        <v>149</v>
      </c>
      <c r="D7" s="16" t="s">
        <v>155</v>
      </c>
      <c r="E7" s="42">
        <v>120</v>
      </c>
      <c r="F7" s="42">
        <v>0.44</v>
      </c>
      <c r="G7" s="16" t="s">
        <v>151</v>
      </c>
      <c r="H7" s="16" t="s">
        <v>152</v>
      </c>
      <c r="I7" s="16" t="s">
        <v>156</v>
      </c>
    </row>
    <row r="8" spans="1:9">
      <c r="A8" s="42">
        <v>3</v>
      </c>
      <c r="B8" s="16" t="s">
        <v>157</v>
      </c>
      <c r="C8" s="16" t="s">
        <v>149</v>
      </c>
      <c r="D8" s="16" t="s">
        <v>158</v>
      </c>
      <c r="E8" s="42">
        <v>48</v>
      </c>
      <c r="F8" s="42">
        <v>1.15</v>
      </c>
      <c r="G8" s="16" t="s">
        <v>151</v>
      </c>
      <c r="H8" s="16" t="s">
        <v>152</v>
      </c>
      <c r="I8" s="16" t="s">
        <v>159</v>
      </c>
    </row>
    <row r="9" spans="1:9">
      <c r="A9" s="42">
        <v>4</v>
      </c>
      <c r="B9" s="16" t="s">
        <v>160</v>
      </c>
      <c r="C9" s="16" t="s">
        <v>161</v>
      </c>
      <c r="D9" s="16" t="s">
        <v>162</v>
      </c>
      <c r="E9" s="42">
        <v>20</v>
      </c>
      <c r="F9" s="42">
        <v>4.84</v>
      </c>
      <c r="G9" s="16" t="s">
        <v>151</v>
      </c>
      <c r="H9" s="16" t="s">
        <v>152</v>
      </c>
      <c r="I9" s="16" t="s">
        <v>163</v>
      </c>
    </row>
    <row r="10" spans="1:9">
      <c r="A10" s="42">
        <v>5</v>
      </c>
      <c r="B10" s="16" t="s">
        <v>164</v>
      </c>
      <c r="C10" s="16" t="s">
        <v>165</v>
      </c>
      <c r="D10" s="16" t="s">
        <v>166</v>
      </c>
      <c r="E10" s="42">
        <v>6</v>
      </c>
      <c r="F10" s="42">
        <v>19.18</v>
      </c>
      <c r="G10" s="16" t="s">
        <v>151</v>
      </c>
      <c r="H10" s="16" t="s">
        <v>152</v>
      </c>
      <c r="I10" s="16" t="s">
        <v>167</v>
      </c>
    </row>
    <row r="11" spans="1:9">
      <c r="A11" s="42">
        <v>6</v>
      </c>
      <c r="B11" s="16" t="s">
        <v>168</v>
      </c>
      <c r="C11" s="16" t="s">
        <v>169</v>
      </c>
      <c r="D11" s="16" t="s">
        <v>170</v>
      </c>
      <c r="E11" s="42">
        <v>30</v>
      </c>
      <c r="F11" s="42">
        <v>0.9</v>
      </c>
      <c r="G11" s="16" t="s">
        <v>151</v>
      </c>
      <c r="H11" s="16" t="s">
        <v>152</v>
      </c>
      <c r="I11" s="16" t="s">
        <v>171</v>
      </c>
    </row>
    <row r="12" spans="1:9">
      <c r="A12" s="16" t="s">
        <v>172</v>
      </c>
      <c r="B12" s="16" t="s">
        <v>172</v>
      </c>
      <c r="C12" s="16" t="s">
        <v>172</v>
      </c>
      <c r="D12" s="16" t="s">
        <v>172</v>
      </c>
      <c r="E12" s="16" t="s">
        <v>173</v>
      </c>
      <c r="F12" s="16" t="s">
        <v>172</v>
      </c>
      <c r="G12" s="16" t="s">
        <v>172</v>
      </c>
      <c r="H12" s="16" t="s">
        <v>172</v>
      </c>
      <c r="I12" s="16" t="s">
        <v>172</v>
      </c>
    </row>
  </sheetData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able">
    <pageSetUpPr fitToPage="1"/>
  </sheetPr>
  <dimension ref="A1:I20"/>
  <sheetViews>
    <sheetView showGridLines="0" workbookViewId="0"/>
  </sheetViews>
  <sheetFormatPr defaultRowHeight="15"/>
  <cols>
    <col min="1" max="1" width="22.7109375" customWidth="1"/>
    <col min="2" max="7" width="10.7109375" customWidth="1"/>
    <col min="8" max="9" width="13.7109375" customWidth="1"/>
  </cols>
  <sheetData>
    <row r="1" spans="1:9" ht="26" customHeight="1">
      <c r="A1" s="43" t="s">
        <v>174</v>
      </c>
      <c r="B1" s="43"/>
      <c r="C1" s="43"/>
      <c r="D1" s="43"/>
      <c r="E1" s="43"/>
      <c r="F1" s="43"/>
      <c r="G1" s="43"/>
    </row>
    <row r="2" spans="1:9" ht="30" customHeight="1">
      <c r="A2" s="44" t="s">
        <v>175</v>
      </c>
      <c r="B2" s="44"/>
      <c r="C2" s="44"/>
      <c r="D2" s="44"/>
      <c r="E2" s="44"/>
      <c r="F2" s="44"/>
      <c r="G2" s="44"/>
      <c r="H2" s="44"/>
      <c r="I2" s="44"/>
    </row>
    <row r="4" spans="1:9" ht="30" customHeight="1">
      <c r="A4" s="45" t="s">
        <v>176</v>
      </c>
      <c r="B4" s="46">
        <v>150</v>
      </c>
      <c r="C4" s="46">
        <v>300</v>
      </c>
      <c r="D4" s="46">
        <v>600</v>
      </c>
      <c r="E4" s="46">
        <v>900</v>
      </c>
      <c r="F4" s="46">
        <v>1500</v>
      </c>
      <c r="G4" s="46">
        <v>2500</v>
      </c>
      <c r="H4" s="47" t="s">
        <v>177</v>
      </c>
      <c r="I4" s="47" t="s">
        <v>178</v>
      </c>
    </row>
    <row r="5" spans="1:9" ht="20" customHeight="1">
      <c r="A5" s="48" t="s">
        <v>179</v>
      </c>
      <c r="B5" s="49" t="s">
        <v>38</v>
      </c>
      <c r="C5" s="49" t="s">
        <v>38</v>
      </c>
      <c r="D5" s="49" t="s">
        <v>38</v>
      </c>
      <c r="E5" s="49" t="s">
        <v>38</v>
      </c>
      <c r="F5" s="49" t="s">
        <v>38</v>
      </c>
      <c r="G5" s="49" t="s">
        <v>38</v>
      </c>
      <c r="H5" s="50">
        <v>0.5</v>
      </c>
      <c r="I5" s="50">
        <v>1.5</v>
      </c>
    </row>
    <row r="6" spans="1:9" ht="20" customHeight="1">
      <c r="A6" s="48" t="s">
        <v>180</v>
      </c>
      <c r="B6" s="49" t="s">
        <v>38</v>
      </c>
      <c r="C6" s="49" t="s">
        <v>38</v>
      </c>
      <c r="D6" s="49" t="s">
        <v>38</v>
      </c>
      <c r="E6" s="49" t="s">
        <v>38</v>
      </c>
      <c r="F6" s="49" t="s">
        <v>38</v>
      </c>
      <c r="G6" s="49" t="s">
        <v>38</v>
      </c>
      <c r="H6" s="50">
        <v>2</v>
      </c>
      <c r="I6" s="50">
        <v>5</v>
      </c>
    </row>
    <row r="7" spans="1:9" ht="20" customHeight="1">
      <c r="A7" s="48" t="s">
        <v>181</v>
      </c>
      <c r="B7" s="49" t="s">
        <v>38</v>
      </c>
      <c r="C7" s="49" t="s">
        <v>43</v>
      </c>
      <c r="D7" s="49" t="s">
        <v>43</v>
      </c>
      <c r="E7" s="49" t="s">
        <v>43</v>
      </c>
      <c r="F7" s="49" t="s">
        <v>43</v>
      </c>
      <c r="G7" s="49" t="s">
        <v>43</v>
      </c>
      <c r="H7" s="50">
        <v>6</v>
      </c>
      <c r="I7" s="50">
        <v>6</v>
      </c>
    </row>
    <row r="8" spans="1:9" ht="20" customHeight="1">
      <c r="A8" s="48" t="s">
        <v>182</v>
      </c>
      <c r="B8" s="49" t="s">
        <v>38</v>
      </c>
      <c r="C8" s="49" t="s">
        <v>43</v>
      </c>
      <c r="D8" s="49" t="s">
        <v>43</v>
      </c>
      <c r="E8" s="49" t="s">
        <v>43</v>
      </c>
      <c r="F8" s="49" t="s">
        <v>43</v>
      </c>
      <c r="G8" s="49" t="s">
        <v>43</v>
      </c>
      <c r="H8" s="50">
        <v>8</v>
      </c>
      <c r="I8" s="50">
        <v>8</v>
      </c>
    </row>
    <row r="9" spans="1:9" ht="20" customHeight="1">
      <c r="A9" s="48" t="s">
        <v>183</v>
      </c>
      <c r="B9" s="49" t="s">
        <v>38</v>
      </c>
      <c r="C9" s="49" t="s">
        <v>43</v>
      </c>
      <c r="D9" s="49" t="s">
        <v>43</v>
      </c>
      <c r="E9" s="49" t="s">
        <v>43</v>
      </c>
      <c r="F9" s="49" t="s">
        <v>43</v>
      </c>
      <c r="G9" s="49" t="s">
        <v>43</v>
      </c>
      <c r="H9" s="50">
        <v>10</v>
      </c>
      <c r="I9" s="50">
        <v>10</v>
      </c>
    </row>
    <row r="10" spans="1:9" ht="20" customHeight="1">
      <c r="A10" s="48" t="s">
        <v>184</v>
      </c>
      <c r="B10" s="49" t="s">
        <v>43</v>
      </c>
      <c r="C10" s="49" t="s">
        <v>43</v>
      </c>
      <c r="D10" s="49" t="s">
        <v>43</v>
      </c>
      <c r="E10" s="49" t="s">
        <v>43</v>
      </c>
      <c r="F10" s="49" t="s">
        <v>43</v>
      </c>
      <c r="G10" s="49" t="s">
        <v>43</v>
      </c>
      <c r="H10" s="50">
        <v>12</v>
      </c>
      <c r="I10" s="50">
        <v>12</v>
      </c>
    </row>
    <row r="11" spans="1:9" ht="20" customHeight="1">
      <c r="A11" s="48" t="s">
        <v>185</v>
      </c>
      <c r="B11" s="49" t="s">
        <v>43</v>
      </c>
      <c r="C11" s="49" t="s">
        <v>43</v>
      </c>
      <c r="D11" s="49" t="s">
        <v>43</v>
      </c>
      <c r="E11" s="49" t="s">
        <v>43</v>
      </c>
      <c r="F11" s="49" t="s">
        <v>43</v>
      </c>
      <c r="G11" s="49" t="s">
        <v>186</v>
      </c>
      <c r="H11" s="50">
        <v>14</v>
      </c>
      <c r="I11" s="50">
        <v>14</v>
      </c>
    </row>
    <row r="12" spans="1:9" ht="20" customHeight="1">
      <c r="A12" s="48" t="s">
        <v>187</v>
      </c>
      <c r="B12" s="49" t="s">
        <v>43</v>
      </c>
      <c r="C12" s="49" t="s">
        <v>43</v>
      </c>
      <c r="D12" s="49" t="s">
        <v>43</v>
      </c>
      <c r="E12" s="49" t="s">
        <v>188</v>
      </c>
      <c r="F12" s="49" t="s">
        <v>188</v>
      </c>
      <c r="G12" s="49" t="s">
        <v>186</v>
      </c>
      <c r="H12" s="50">
        <v>16</v>
      </c>
      <c r="I12" s="50">
        <v>16</v>
      </c>
    </row>
    <row r="13" spans="1:9" ht="20" customHeight="1">
      <c r="A13" s="48" t="s">
        <v>189</v>
      </c>
      <c r="B13" s="49" t="s">
        <v>43</v>
      </c>
      <c r="C13" s="49" t="s">
        <v>43</v>
      </c>
      <c r="D13" s="49" t="s">
        <v>43</v>
      </c>
      <c r="E13" s="49" t="s">
        <v>188</v>
      </c>
      <c r="F13" s="49" t="s">
        <v>188</v>
      </c>
      <c r="G13" s="49" t="s">
        <v>186</v>
      </c>
      <c r="H13" s="50">
        <v>18</v>
      </c>
      <c r="I13" s="50">
        <v>18</v>
      </c>
    </row>
    <row r="14" spans="1:9" ht="20" customHeight="1">
      <c r="A14" s="48" t="s">
        <v>190</v>
      </c>
      <c r="B14" s="49" t="s">
        <v>43</v>
      </c>
      <c r="C14" s="49" t="s">
        <v>43</v>
      </c>
      <c r="D14" s="49" t="s">
        <v>43</v>
      </c>
      <c r="E14" s="49" t="s">
        <v>188</v>
      </c>
      <c r="F14" s="49" t="s">
        <v>188</v>
      </c>
      <c r="G14" s="49" t="s">
        <v>186</v>
      </c>
      <c r="H14" s="50">
        <v>20</v>
      </c>
      <c r="I14" s="50">
        <v>20</v>
      </c>
    </row>
    <row r="15" spans="1:9" ht="20" customHeight="1">
      <c r="A15" s="48" t="s">
        <v>191</v>
      </c>
      <c r="B15" s="49" t="s">
        <v>43</v>
      </c>
      <c r="C15" s="49" t="s">
        <v>43</v>
      </c>
      <c r="D15" s="49" t="s">
        <v>43</v>
      </c>
      <c r="E15" s="49" t="s">
        <v>48</v>
      </c>
      <c r="F15" s="49" t="s">
        <v>48</v>
      </c>
      <c r="G15" s="49" t="s">
        <v>186</v>
      </c>
      <c r="H15" s="50">
        <v>24</v>
      </c>
      <c r="I15" s="50">
        <v>24</v>
      </c>
    </row>
    <row r="16" spans="1:9" ht="20" customHeight="1">
      <c r="A16" s="48" t="s">
        <v>192</v>
      </c>
      <c r="B16" s="49" t="s">
        <v>43</v>
      </c>
      <c r="C16" s="49" t="s">
        <v>43</v>
      </c>
      <c r="D16" s="49" t="s">
        <v>48</v>
      </c>
      <c r="E16" s="49" t="s">
        <v>48</v>
      </c>
      <c r="F16" s="49" t="s">
        <v>48</v>
      </c>
      <c r="G16" s="49" t="s">
        <v>186</v>
      </c>
      <c r="H16" s="50">
        <v>30</v>
      </c>
      <c r="I16" s="50">
        <v>30</v>
      </c>
    </row>
    <row r="17" spans="1:9" ht="20" customHeight="1">
      <c r="A17" s="48" t="s">
        <v>193</v>
      </c>
      <c r="B17" s="49" t="s">
        <v>48</v>
      </c>
      <c r="C17" s="49" t="s">
        <v>48</v>
      </c>
      <c r="D17" s="49" t="s">
        <v>48</v>
      </c>
      <c r="E17" s="49" t="s">
        <v>48</v>
      </c>
      <c r="F17" s="49" t="s">
        <v>48</v>
      </c>
      <c r="G17" s="49" t="s">
        <v>48</v>
      </c>
      <c r="H17" s="50">
        <v>36</v>
      </c>
      <c r="I17" s="50">
        <v>120</v>
      </c>
    </row>
    <row r="19" spans="1:9">
      <c r="A19" s="3" t="s">
        <v>194</v>
      </c>
    </row>
    <row r="20" spans="1:9">
      <c r="A20" s="3" t="s">
        <v>195</v>
      </c>
    </row>
  </sheetData>
  <mergeCells count="2">
    <mergeCell ref="A1:G1"/>
    <mergeCell ref="A2:I2"/>
  </mergeCells>
  <pageMargins left="0.7" right="0.7" top="0.75" bottom="0.75" header="0.3" footer="0.3"/>
  <pageSetup paperSize="9"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Setting">
    <pageSetUpPr fitToPage="1"/>
  </sheetPr>
  <dimension ref="B2:D17"/>
  <sheetViews>
    <sheetView showGridLines="0" workbookViewId="0"/>
  </sheetViews>
  <sheetFormatPr defaultRowHeight="15"/>
  <cols>
    <col min="1" max="1" width="2.7109375" customWidth="1"/>
    <col min="2" max="2" width="20.7109375" customWidth="1"/>
    <col min="3" max="3" width="12.7109375" customWidth="1"/>
    <col min="4" max="4" width="80.7109375" customWidth="1"/>
  </cols>
  <sheetData>
    <row r="2" spans="2:4">
      <c r="B2" s="35" t="s">
        <v>101</v>
      </c>
      <c r="D2" s="51" t="s">
        <v>196</v>
      </c>
    </row>
    <row r="4" spans="2:4">
      <c r="B4" s="14" t="s">
        <v>110</v>
      </c>
      <c r="C4" s="52">
        <v>1.2</v>
      </c>
      <c r="D4" s="53" t="s">
        <v>197</v>
      </c>
    </row>
    <row r="6" spans="2:4">
      <c r="B6" s="54" t="s">
        <v>198</v>
      </c>
    </row>
    <row r="7" spans="2:4">
      <c r="B7" s="14" t="s">
        <v>199</v>
      </c>
      <c r="C7" s="55"/>
      <c r="D7" s="53" t="s">
        <v>200</v>
      </c>
    </row>
    <row r="8" spans="2:4">
      <c r="B8" s="14" t="s">
        <v>201</v>
      </c>
      <c r="C8" s="55"/>
      <c r="D8" s="53" t="s">
        <v>202</v>
      </c>
    </row>
    <row r="9" spans="2:4">
      <c r="B9" s="14" t="s">
        <v>203</v>
      </c>
      <c r="C9" s="55"/>
      <c r="D9" s="53" t="s">
        <v>204</v>
      </c>
    </row>
    <row r="10" spans="2:4">
      <c r="B10" s="14" t="s">
        <v>205</v>
      </c>
      <c r="C10" s="55"/>
      <c r="D10" s="53" t="s">
        <v>206</v>
      </c>
    </row>
    <row r="11" spans="2:4">
      <c r="B11" s="14" t="s">
        <v>207</v>
      </c>
      <c r="C11" s="55"/>
      <c r="D11" s="53" t="s">
        <v>208</v>
      </c>
    </row>
    <row r="12" spans="2:4">
      <c r="B12" s="14" t="s">
        <v>209</v>
      </c>
      <c r="C12" s="55"/>
      <c r="D12" s="53" t="s">
        <v>210</v>
      </c>
    </row>
    <row r="14" spans="2:4">
      <c r="B14" s="14" t="s">
        <v>211</v>
      </c>
      <c r="C14" s="55"/>
      <c r="D14" s="53" t="s">
        <v>212</v>
      </c>
    </row>
    <row r="17" spans="2:3">
      <c r="B17" s="56" t="s">
        <v>213</v>
      </c>
      <c r="C17" s="51" t="s">
        <v>214</v>
      </c>
    </row>
  </sheetData>
  <dataValidations count="1">
    <dataValidation type="decimal" allowBlank="1" showInputMessage="1" showErrorMessage="1" error="1 ~ 5 사이 숫자를 넣으세요 (예: 1.2)" sqref="C4">
      <formula1>1</formula1>
      <formula2>5</formula2>
    </dataValidation>
  </dataValidations>
  <pageMargins left="0.7" right="0.7" top="0.75" bottom="0.75" header="0.3" footer="0.3"/>
  <pageSetup paperSize="9"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사용설명서</vt:lpstr>
      <vt:lpstr>결과요약</vt:lpstr>
      <vt:lpstr>계산상세</vt:lpstr>
      <vt:lpstr>수주입력</vt:lpstr>
      <vt:lpstr>클립기준표</vt:lpstr>
      <vt:lpstr>설정</vt:lpstr>
      <vt:lpstr>infoSource</vt:lpstr>
      <vt:lpstr>inputOrderNo</vt:lpstr>
      <vt:lpstr>결과요약!Print_Area</vt:lpstr>
      <vt:lpstr>사용설명서!Print_Area</vt:lpstr>
      <vt:lpstr>계산상세!Print_Titles</vt:lpstr>
      <vt:lpstr>setColClass</vt:lpstr>
      <vt:lpstr>setColDesc</vt:lpstr>
      <vt:lpstr>setColOrder</vt:lpstr>
      <vt:lpstr>setColQty</vt:lpstr>
      <vt:lpstr>setColSize</vt:lpstr>
      <vt:lpstr>setFactor</vt:lpstr>
      <vt:lpstr>setFilter</vt:lpstr>
      <vt:lpstr>setHeaderRow</vt:lpstr>
      <vt:lpstr>tblClass</vt:lpstr>
      <vt:lpstr>tblData</vt:lpstr>
      <vt:lpstr>tblLabel</vt:lpstr>
      <vt:lpstr>tblMax</vt:lpstr>
      <vt:lpstr>tblMin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가스켓 포장 클립 계산기</dc:title>
  <dc:subject>Gasket bundle spacer (clip) calculator</dc:subject>
  <dc:creator/>
  <cp:lastModifiedBy/>
  <dcterms:created xsi:type="dcterms:W3CDTF">2026-10-21T07:41:49Z</dcterms:created>
  <dcterms:modified xsi:type="dcterms:W3CDTF">2026-10-21T07:41:49Z</dcterms:modified>
</cp:coreProperties>
</file>