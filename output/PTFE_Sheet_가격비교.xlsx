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격비교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<sst xmlns="http://schemas.openxmlformats.org/spreadsheetml/2006/main" count="52" uniqueCount="40">
  <si>
    <r>
      <rPr>
        <b val="true"/>
        <sz val="14"/>
        <rFont val="Arial"/>
        <family val="0"/>
        <charset val="1"/>
      </rPr>
      <t xml:space="preserve">PTFE SHEET </t>
    </r>
    <r>
      <rPr>
        <b val="true"/>
        <sz val="14"/>
        <rFont val="WenQuanYi Zen Hei"/>
        <family val="2"/>
      </rPr>
      <t xml:space="preserve">업체별 가격 비교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원화 환산</t>
    </r>
    <r>
      <rPr>
        <b val="true"/>
        <sz val="14"/>
        <rFont val="Arial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</si>
  <si>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■ 환율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파란색 </t>
    </r>
    <r>
      <rPr>
        <b val="true"/>
        <sz val="11"/>
        <rFont val="Arial"/>
        <family val="0"/>
        <charset val="1"/>
      </rPr>
      <t xml:space="preserve">= </t>
    </r>
    <r>
      <rPr>
        <b val="true"/>
        <sz val="11"/>
        <rFont val="WenQuanYi Zen Hei"/>
        <family val="2"/>
      </rPr>
      <t xml:space="preserve">입력값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WenQuanYi Zen Hei"/>
        <family val="2"/>
      </rPr>
      <t xml:space="preserve">수정 시 전체 자동 재계산</t>
    </r>
    <r>
      <rPr>
        <b val="true"/>
        <sz val="11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</si>
  <si>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USD 1</t>
    </r>
    <r>
      <rPr>
        <sz val="10"/>
        <rFont val="WenQuanYi Zen Hei"/>
        <family val="2"/>
      </rPr>
      <t xml:space="preserve">달러 </t>
    </r>
    <r>
      <rPr>
        <sz val="10"/>
        <rFont val="Arial"/>
        <family val="0"/>
        <charset val="1"/>
      </rPr>
      <t xml:space="preserve">= (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</si>
  <si>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JPY 100</t>
    </r>
    <r>
      <rPr>
        <sz val="10"/>
        <rFont val="WenQuanYi Zen Hei"/>
        <family val="2"/>
      </rPr>
      <t xml:space="preserve">엔 </t>
    </r>
    <r>
      <rPr>
        <sz val="10"/>
        <rFont val="Arial"/>
        <family val="0"/>
        <charset val="1"/>
      </rPr>
      <t xml:space="preserve">= (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</si>
  <si>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■ 1. </t>
    </r>
    <r>
      <rPr>
        <b val="true"/>
        <sz val="11"/>
        <rFont val="WenQuanYi Zen Hei"/>
        <family val="2"/>
      </rPr>
      <t xml:space="preserve">원본 견적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원 통화 기준</t>
    </r>
    <r>
      <rPr>
        <b val="true"/>
        <sz val="11"/>
        <rFont val="Arial"/>
        <family val="0"/>
        <charset val="1"/>
      </rPr>
      <t xml:space="preserve">)</t>
    </r>
  </si>
  <si>
    <t xml:space="preserve">품목</t>
  </si>
  <si>
    <t xml:space="preserve">규격</t>
  </si>
  <si>
    <r>
      <rPr>
        <b val="true"/>
        <sz val="10"/>
        <color rgb="FFFFFFFF"/>
        <rFont val="WenQuanYi Zen Hei"/>
        <family val="2"/>
      </rPr>
      <t xml:space="preserve">수량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내자 기준</t>
    </r>
    <r>
      <rPr>
        <b val="true"/>
        <sz val="10"/>
        <color rgb="FFFFFFFF"/>
        <rFont val="Arial"/>
        <family val="0"/>
        <charset val="1"/>
      </rPr>
      <t xml:space="preserve">, EA)</t>
    </r>
  </si>
  <si>
    <r>
      <rPr>
        <b val="true"/>
        <sz val="10"/>
        <color rgb="FFFFFFFF"/>
        <rFont val="WenQuanYi Zen Hei"/>
        <family val="2"/>
      </rPr>
      <t xml:space="preserve">내자 단가 </t>
    </r>
    <r>
      <rPr>
        <b val="true"/>
        <sz val="10"/>
        <color rgb="FFFFFFFF"/>
        <rFont val="Arial"/>
        <family val="0"/>
        <charset val="1"/>
      </rPr>
      <t xml:space="preserve">(KRW/EA)</t>
    </r>
  </si>
  <si>
    <r>
      <rPr>
        <b val="true"/>
        <sz val="10"/>
        <color rgb="FFFFFFFF"/>
        <rFont val="Arial"/>
        <family val="0"/>
        <charset val="1"/>
      </rPr>
      <t xml:space="preserve">UNITEX </t>
    </r>
    <r>
      <rPr>
        <b val="true"/>
        <sz val="10"/>
        <color rgb="FFFFFFFF"/>
        <rFont val="WenQuanYi Zen Hei"/>
        <family val="2"/>
      </rPr>
      <t xml:space="preserve">단가 </t>
    </r>
    <r>
      <rPr>
        <b val="true"/>
        <sz val="10"/>
        <color rgb="FFFFFFFF"/>
        <rFont val="Arial"/>
        <family val="0"/>
        <charset val="1"/>
      </rPr>
      <t xml:space="preserve">(USD/EA, FOB Ningbo)</t>
    </r>
  </si>
  <si>
    <r>
      <rPr>
        <b val="true"/>
        <sz val="10"/>
        <color rgb="FFFFFFFF"/>
        <rFont val="Arial"/>
        <family val="0"/>
        <charset val="1"/>
      </rPr>
      <t xml:space="preserve">HIRO </t>
    </r>
    <r>
      <rPr>
        <b val="true"/>
        <sz val="10"/>
        <color rgb="FFFFFFFF"/>
        <rFont val="WenQuanYi Zen Hei"/>
        <family val="2"/>
      </rPr>
      <t xml:space="preserve">중국산 단가 </t>
    </r>
    <r>
      <rPr>
        <b val="true"/>
        <sz val="10"/>
        <color rgb="FFFFFFFF"/>
        <rFont val="Arial"/>
        <family val="0"/>
        <charset val="1"/>
      </rPr>
      <t xml:space="preserve">(JPY/EA, CIF Busan)</t>
    </r>
  </si>
  <si>
    <r>
      <rPr>
        <b val="true"/>
        <sz val="10"/>
        <color rgb="FFFFFFFF"/>
        <rFont val="Arial"/>
        <family val="0"/>
        <charset val="1"/>
      </rPr>
      <t xml:space="preserve">HIRO </t>
    </r>
    <r>
      <rPr>
        <b val="true"/>
        <sz val="10"/>
        <color rgb="FFFFFFFF"/>
        <rFont val="WenQuanYi Zen Hei"/>
        <family val="2"/>
      </rPr>
      <t xml:space="preserve">일본산 </t>
    </r>
    <r>
      <rPr>
        <b val="true"/>
        <sz val="10"/>
        <color rgb="FFFFFFFF"/>
        <rFont val="Arial"/>
        <family val="0"/>
        <charset val="1"/>
      </rPr>
      <t xml:space="preserve">FOB </t>
    </r>
    <r>
      <rPr>
        <b val="true"/>
        <sz val="10"/>
        <color rgb="FFFFFFFF"/>
        <rFont val="WenQuanYi Zen Hei"/>
        <family val="2"/>
      </rPr>
      <t xml:space="preserve">단가 </t>
    </r>
    <r>
      <rPr>
        <b val="true"/>
        <sz val="10"/>
        <color rgb="FFFFFFFF"/>
        <rFont val="Arial"/>
        <family val="0"/>
        <charset val="1"/>
      </rPr>
      <t xml:space="preserve">(JPY/EA)</t>
    </r>
  </si>
  <si>
    <r>
      <rPr>
        <b val="true"/>
        <sz val="10"/>
        <color rgb="FFFFFFFF"/>
        <rFont val="Arial"/>
        <family val="0"/>
        <charset val="1"/>
      </rPr>
      <t xml:space="preserve">HIRO </t>
    </r>
    <r>
      <rPr>
        <b val="true"/>
        <sz val="10"/>
        <color rgb="FFFFFFFF"/>
        <rFont val="WenQuanYi Zen Hei"/>
        <family val="2"/>
      </rPr>
      <t xml:space="preserve">일본산 </t>
    </r>
    <r>
      <rPr>
        <b val="true"/>
        <sz val="10"/>
        <color rgb="FFFFFFFF"/>
        <rFont val="Arial"/>
        <family val="0"/>
        <charset val="1"/>
      </rPr>
      <t xml:space="preserve">I/F charge (JPY, </t>
    </r>
    <r>
      <rPr>
        <b val="true"/>
        <sz val="10"/>
        <color rgb="FFFFFFFF"/>
        <rFont val="WenQuanYi Zen Hei"/>
        <family val="2"/>
      </rPr>
      <t xml:space="preserve">총액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</si>
  <si>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HIRO MOQ (EA)</t>
  </si>
  <si>
    <t xml:space="preserve">PTFE SHEET</t>
  </si>
  <si>
    <t xml:space="preserve">1.5T x 1300 x 1300</t>
  </si>
  <si>
    <t xml:space="preserve">2T x 1300 x 1300</t>
  </si>
  <si>
    <t xml:space="preserve">3T x 1300 x 1300</t>
  </si>
  <si>
    <t xml:space="preserve">0.8T x 1000 x 10M (ROLL)</t>
  </si>
  <si>
    <r>
      <rPr>
        <b val="true"/>
        <sz val="11"/>
        <rFont val="Arial"/>
        <family val="0"/>
        <charset val="1"/>
      </rPr>
      <t xml:space="preserve">■ 2. </t>
    </r>
    <r>
      <rPr>
        <b val="true"/>
        <sz val="11"/>
        <rFont val="WenQuanYi Zen Hei"/>
        <family val="2"/>
      </rPr>
      <t xml:space="preserve">원화 환산 단가 </t>
    </r>
    <r>
      <rPr>
        <b val="true"/>
        <sz val="11"/>
        <rFont val="Arial"/>
        <family val="0"/>
        <charset val="1"/>
      </rPr>
      <t xml:space="preserve">(KRW/EA)</t>
    </r>
  </si>
  <si>
    <t xml:space="preserve">내자</t>
  </si>
  <si>
    <t xml:space="preserve">UNITEX</t>
  </si>
  <si>
    <r>
      <rPr>
        <b val="true"/>
        <sz val="10"/>
        <color rgb="FFFFFFFF"/>
        <rFont val="Arial"/>
        <family val="0"/>
        <charset val="1"/>
      </rPr>
      <t xml:space="preserve">HIRO </t>
    </r>
    <r>
      <rPr>
        <b val="true"/>
        <sz val="10"/>
        <color rgb="FFFFFFFF"/>
        <rFont val="WenQuanYi Zen Hei"/>
        <family val="2"/>
      </rPr>
      <t xml:space="preserve">중국산</t>
    </r>
  </si>
  <si>
    <r>
      <rPr>
        <b val="true"/>
        <sz val="10"/>
        <color rgb="FFFFFFFF"/>
        <rFont val="Arial"/>
        <family val="0"/>
        <charset val="1"/>
      </rPr>
      <t xml:space="preserve">HIRO </t>
    </r>
    <r>
      <rPr>
        <b val="true"/>
        <sz val="10"/>
        <color rgb="FFFFFFFF"/>
        <rFont val="WenQuanYi Zen Hei"/>
        <family val="2"/>
      </rPr>
      <t xml:space="preserve">일본산</t>
    </r>
  </si>
  <si>
    <t xml:space="preserve">최저가 업체</t>
  </si>
  <si>
    <r>
      <rPr>
        <b val="true"/>
        <sz val="10"/>
        <color rgb="FFFFFFFF"/>
        <rFont val="WenQuanYi Zen Hei"/>
        <family val="2"/>
      </rPr>
      <t xml:space="preserve">최저 단가 </t>
    </r>
    <r>
      <rPr>
        <b val="true"/>
        <sz val="10"/>
        <color rgb="FFFFFFFF"/>
        <rFont val="Arial"/>
        <family val="0"/>
        <charset val="1"/>
      </rPr>
      <t xml:space="preserve">(KRW)</t>
    </r>
  </si>
  <si>
    <r>
      <rPr>
        <b val="true"/>
        <sz val="10"/>
        <color rgb="FFFFFFFF"/>
        <rFont val="WenQuanYi Zen Hei"/>
        <family val="2"/>
      </rPr>
      <t xml:space="preserve">내자 대비 최저가 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</si>
  <si>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1"/>
        <rFont val="Arial"/>
        <family val="0"/>
        <charset val="1"/>
      </rPr>
      <t xml:space="preserve">■ 3. </t>
    </r>
    <r>
      <rPr>
        <b val="true"/>
        <sz val="11"/>
        <rFont val="WenQuanYi Zen Hei"/>
        <family val="2"/>
      </rPr>
      <t xml:space="preserve">수량 기준 합계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내자 수량 기준 동일 수량 비교</t>
    </r>
    <r>
      <rPr>
        <b val="true"/>
        <sz val="11"/>
        <rFont val="Arial"/>
        <family val="0"/>
        <charset val="1"/>
      </rPr>
      <t xml:space="preserve">, KRW)</t>
    </r>
  </si>
  <si>
    <r>
      <rPr>
        <b val="true"/>
        <sz val="10"/>
        <color rgb="FFFFFFFF"/>
        <rFont val="WenQuanYi Zen Hei"/>
        <family val="2"/>
      </rPr>
      <t xml:space="preserve">최저 합계 </t>
    </r>
    <r>
      <rPr>
        <b val="true"/>
        <sz val="10"/>
        <color rgb="FFFFFFFF"/>
        <rFont val="Arial"/>
        <family val="0"/>
        <charset val="1"/>
      </rPr>
      <t xml:space="preserve">(KRW)</t>
    </r>
  </si>
  <si>
    <r>
      <rPr>
        <b val="true"/>
        <sz val="10"/>
        <color rgb="FFFFFFFF"/>
        <rFont val="WenQuanYi Zen Hei"/>
        <family val="2"/>
      </rPr>
      <t xml:space="preserve">수량 </t>
    </r>
    <r>
      <rPr>
        <b val="true"/>
        <sz val="10"/>
        <color rgb="FFFFFFFF"/>
        <rFont val="Arial"/>
        <family val="0"/>
        <charset val="1"/>
      </rPr>
      <t xml:space="preserve">(EA)</t>
    </r>
  </si>
  <si>
    <t xml:space="preserve">합계</t>
  </si>
  <si>
    <r>
      <rPr>
        <b val="true"/>
        <sz val="10"/>
        <rFont val="WenQuanYi Zen Hei"/>
        <family val="2"/>
      </rPr>
      <t xml:space="preserve">내자 대비 </t>
    </r>
    <r>
      <rPr>
        <b val="true"/>
        <sz val="10"/>
        <rFont val="Arial"/>
        <family val="0"/>
        <charset val="1"/>
      </rPr>
      <t xml:space="preserve">(%)</t>
    </r>
  </si>
  <si>
    <r>
      <rPr>
        <b val="true"/>
        <sz val="11"/>
        <rFont val="WenQuanYi Zen Hei"/>
        <family val="2"/>
      </rPr>
      <t xml:space="preserve">■ 비고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WenQuanYi Zen Hei"/>
        <family val="2"/>
      </rPr>
      <t xml:space="preserve">가정</t>
    </r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</si>
  <si>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환율</t>
    </r>
    <r>
      <rPr>
        <sz val="10"/>
        <rFont val="Arial"/>
        <family val="0"/>
        <charset val="1"/>
      </rPr>
      <t xml:space="preserve">: USD 1</t>
    </r>
    <r>
      <rPr>
        <sz val="10"/>
        <rFont val="WenQuanYi Zen Hei"/>
        <family val="2"/>
      </rPr>
      <t xml:space="preserve">달러</t>
    </r>
    <r>
      <rPr>
        <sz val="10"/>
        <rFont val="Arial"/>
        <family val="0"/>
        <charset val="1"/>
      </rPr>
      <t xml:space="preserve">=1,300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, JPY 100</t>
    </r>
    <r>
      <rPr>
        <sz val="10"/>
        <rFont val="WenQuanYi Zen Hei"/>
        <family val="2"/>
      </rPr>
      <t xml:space="preserve">엔</t>
    </r>
    <r>
      <rPr>
        <sz val="10"/>
        <rFont val="Arial"/>
        <family val="0"/>
        <charset val="1"/>
      </rPr>
      <t xml:space="preserve">=850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엔</t>
    </r>
    <r>
      <rPr>
        <sz val="10"/>
        <rFont val="Arial"/>
        <family val="0"/>
        <charset val="1"/>
      </rPr>
      <t xml:space="preserve">=8.5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기준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사용자 지정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엔화는 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엔당 </t>
    </r>
    <r>
      <rPr>
        <sz val="10"/>
        <rFont val="Arial"/>
        <family val="0"/>
        <charset val="1"/>
      </rPr>
      <t xml:space="preserve">850</t>
    </r>
    <r>
      <rPr>
        <sz val="10"/>
        <rFont val="WenQuanYi Zen Hei"/>
        <family val="2"/>
      </rPr>
      <t xml:space="preserve">원으로 해석함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</si>
  <si>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내자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원화 견적</t>
    </r>
    <r>
      <rPr>
        <sz val="10"/>
        <rFont val="Arial"/>
        <family val="0"/>
        <charset val="1"/>
      </rPr>
      <t xml:space="preserve">, VAT </t>
    </r>
    <r>
      <rPr>
        <sz val="10"/>
        <rFont val="WenQuanYi Zen Hei"/>
        <family val="2"/>
      </rPr>
      <t xml:space="preserve">별도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가격조건 공장도착도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납기 발주 후 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원산지 중국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</si>
  <si>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3. UNITEX: FOB NINGBO (USD) </t>
    </r>
    <r>
      <rPr>
        <sz val="10"/>
        <rFont val="WenQuanYi Zen Hei"/>
        <family val="2"/>
      </rPr>
      <t xml:space="preserve">기준 — 해상운임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보험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관세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통관비 별도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원화 환산액은 단순 환산값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</si>
  <si>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4. HIRO: CIF Busan (JPY), </t>
    </r>
    <r>
      <rPr>
        <sz val="10"/>
        <rFont val="WenQuanYi Zen Hei"/>
        <family val="2"/>
      </rPr>
      <t xml:space="preserve">운임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보험 포함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관세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통관비 별도</t>
    </r>
    <r>
      <rPr>
        <sz val="10"/>
        <rFont val="Arial"/>
        <family val="0"/>
        <charset val="1"/>
      </rPr>
      <t xml:space="preserve">. 100% T/T </t>
    </r>
    <r>
      <rPr>
        <sz val="10"/>
        <rFont val="WenQuanYi Zen Hei"/>
        <family val="2"/>
      </rPr>
      <t xml:space="preserve">선결제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견적 유효기간 </t>
    </r>
    <r>
      <rPr>
        <sz val="10"/>
        <rFont val="Arial"/>
        <family val="0"/>
        <charset val="1"/>
      </rPr>
      <t xml:space="preserve">2026-11-13. </t>
    </r>
    <r>
      <rPr>
        <sz val="10"/>
        <rFont val="WenQuanYi Zen Hei"/>
        <family val="2"/>
      </rPr>
      <t xml:space="preserve">견적일 </t>
    </r>
    <r>
      <rPr>
        <sz val="10"/>
        <rFont val="Arial"/>
        <family val="0"/>
        <charset val="1"/>
      </rPr>
      <t xml:space="preserve">2026-10-05/06.</t>
    </r>
  </si>
  <si>
    <r>
      <rPr>
        <sz val="10"/>
        <rFont val="Arial"/>
        <family val="0"/>
        <charset val="1"/>
      </rPr>
      <t xml:space="preserve">5. HIRO </t>
    </r>
    <r>
      <rPr>
        <sz val="10"/>
        <rFont val="WenQuanYi Zen Hei"/>
        <family val="2"/>
      </rPr>
      <t xml:space="preserve">중국산</t>
    </r>
    <r>
      <rPr>
        <sz val="10"/>
        <rFont val="Arial"/>
        <family val="0"/>
        <charset val="1"/>
      </rPr>
      <t xml:space="preserve">: CIF Busan </t>
    </r>
    <r>
      <rPr>
        <sz val="10"/>
        <rFont val="WenQuanYi Zen Hei"/>
        <family val="2"/>
      </rPr>
      <t xml:space="preserve">단가 그대로 사용</t>
    </r>
    <r>
      <rPr>
        <sz val="10"/>
        <rFont val="Arial"/>
        <family val="0"/>
        <charset val="1"/>
      </rPr>
      <t xml:space="preserve">. HIRO </t>
    </r>
    <r>
      <rPr>
        <sz val="10"/>
        <rFont val="WenQuanYi Zen Hei"/>
        <family val="2"/>
      </rPr>
      <t xml:space="preserve">일본산</t>
    </r>
    <r>
      <rPr>
        <sz val="10"/>
        <rFont val="Arial"/>
        <family val="0"/>
        <charset val="1"/>
      </rPr>
      <t xml:space="preserve">: (FOB </t>
    </r>
    <r>
      <rPr>
        <sz val="10"/>
        <rFont val="WenQuanYi Zen Hei"/>
        <family val="2"/>
      </rPr>
      <t xml:space="preserve">단가 </t>
    </r>
    <r>
      <rPr>
        <sz val="10"/>
        <rFont val="Arial"/>
        <family val="0"/>
        <charset val="1"/>
      </rPr>
      <t xml:space="preserve">+ I/F charge ÷ MOQ)</t>
    </r>
    <r>
      <rPr>
        <sz val="10"/>
        <rFont val="WenQuanYi Zen Hei"/>
        <family val="2"/>
      </rPr>
      <t xml:space="preserve">로 </t>
    </r>
    <r>
      <rPr>
        <sz val="10"/>
        <rFont val="Arial"/>
        <family val="0"/>
        <charset val="1"/>
      </rPr>
      <t xml:space="preserve">EA</t>
    </r>
    <r>
      <rPr>
        <sz val="10"/>
        <rFont val="WenQuanYi Zen Hei"/>
        <family val="2"/>
      </rPr>
      <t xml:space="preserve">당 </t>
    </r>
    <r>
      <rPr>
        <sz val="10"/>
        <rFont val="Arial"/>
        <family val="0"/>
        <charset val="1"/>
      </rPr>
      <t xml:space="preserve">CIF </t>
    </r>
    <r>
      <rPr>
        <sz val="10"/>
        <rFont val="WenQuanYi Zen Hei"/>
        <family val="2"/>
      </rPr>
      <t xml:space="preserve">단가 산출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견적서 </t>
    </r>
    <r>
      <rPr>
        <sz val="10"/>
        <rFont val="Arial"/>
        <family val="0"/>
        <charset val="1"/>
      </rPr>
      <t xml:space="preserve">CIF </t>
    </r>
    <r>
      <rPr>
        <sz val="10"/>
        <rFont val="WenQuanYi Zen Hei"/>
        <family val="2"/>
      </rPr>
      <t xml:space="preserve">합계 </t>
    </r>
    <r>
      <rPr>
        <sz val="10"/>
        <rFont val="Arial"/>
        <family val="0"/>
        <charset val="1"/>
      </rPr>
      <t xml:space="preserve">/ MOQ</t>
    </r>
    <r>
      <rPr>
        <sz val="10"/>
        <rFont val="WenQuanYi Zen Hei"/>
        <family val="2"/>
      </rPr>
      <t xml:space="preserve">와 동일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</si>
  <si>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6. HIRO </t>
    </r>
    <r>
      <rPr>
        <sz val="10"/>
        <rFont val="WenQuanYi Zen Hei"/>
        <family val="2"/>
      </rPr>
      <t xml:space="preserve">최소주문수량</t>
    </r>
    <r>
      <rPr>
        <sz val="10"/>
        <rFont val="Arial"/>
        <family val="0"/>
        <charset val="1"/>
      </rPr>
      <t xml:space="preserve">(MOQ): 1.5T 100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, 2T 80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, 3T 50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, 0.8T 30</t>
    </r>
    <r>
      <rPr>
        <sz val="10"/>
        <rFont val="WenQuanYi Zen Hei"/>
        <family val="2"/>
      </rPr>
      <t xml:space="preserve">롤 — 섹션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의 비교 수량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내자 기준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은 모두 </t>
    </r>
    <r>
      <rPr>
        <sz val="10"/>
        <rFont val="Arial"/>
        <family val="0"/>
        <charset val="1"/>
      </rPr>
      <t xml:space="preserve">MOQ </t>
    </r>
    <r>
      <rPr>
        <sz val="10"/>
        <rFont val="WenQuanYi Zen Hei"/>
        <family val="2"/>
      </rPr>
      <t xml:space="preserve">이상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</si>
  <si>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7. </t>
    </r>
    <r>
      <rPr>
        <sz val="10"/>
        <rFont val="WenQuanYi Zen Hei"/>
        <family val="2"/>
      </rPr>
      <t xml:space="preserve">섹션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은 모든 업체에 내자 견적 수량</t>
    </r>
    <r>
      <rPr>
        <sz val="10"/>
        <rFont val="Arial"/>
        <family val="0"/>
        <charset val="1"/>
      </rPr>
      <t xml:space="preserve">(200/300/500/30)</t>
    </r>
    <r>
      <rPr>
        <sz val="10"/>
        <rFont val="WenQuanYi Zen Hei"/>
        <family val="2"/>
      </rPr>
      <t xml:space="preserve">을 동일 적용한 합계임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</si>
</sst>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@"/>
    <numFmt numFmtId="167" formatCode="#,##0.0"/>
    <numFmt numFmtId="168" formatCode="0.0%;\-0.0%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sz val="10"/>
      <color rgb="FF0000FF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8" min="7" style="0" width="22"/>
    <col collapsed="false" customWidth="true" hidden="false" outlineLevel="0" max="9" min="9" style="0" width="18"/>
  </cols>
  <sheetData>
    <row r="1" customFormat="false" ht="86.55" hidden="false" customHeight="false" outlineLevel="0" collapsed="false">
      <c r="A1" s="1" t="s">
        <v>0</v>
      </c>
    </row>
    <row r="3" customFormat="false" ht="68.65" hidden="false" customHeight="false" outlineLevel="0" collapsed="false">
      <c r="A3" s="2" t="s">
        <v>1</v>
      </c>
    </row>
    <row r="4" customFormat="false" ht="15" hidden="false" customHeight="true" outlineLevel="0" collapsed="false">
      <c r="A4" s="3" t="s">
        <v>2</v>
      </c>
      <c r="B4" s="3"/>
      <c r="C4" s="4" t="n">
        <v>1300</v>
      </c>
    </row>
    <row r="5" customFormat="false" ht="15" hidden="false" customHeight="true" outlineLevel="0" collapsed="false">
      <c r="A5" s="3" t="s">
        <v>3</v>
      </c>
      <c r="B5" s="3"/>
      <c r="C5" s="4" t="n">
        <v>850</v>
      </c>
    </row>
    <row r="7" customFormat="false" ht="28.35" hidden="false" customHeight="false" outlineLevel="0" collapsed="false">
      <c r="A7" s="5" t="s">
        <v>4</v>
      </c>
    </row>
    <row r="8" customFormat="false" ht="48" hidden="false" customHeight="true" outlineLevel="0" collapsed="false">
      <c r="A8" s="6" t="s">
        <v>5</v>
      </c>
      <c r="B8" s="6" t="s">
        <v>6</v>
      </c>
      <c r="C8" s="6" t="s">
        <v>7</v>
      </c>
      <c r="D8" s="6" t="s">
        <v>8</v>
      </c>
      <c r="E8" s="7" t="s">
        <v>9</v>
      </c>
      <c r="F8" s="7" t="s">
        <v>10</v>
      </c>
      <c r="G8" s="7" t="s">
        <v>11</v>
      </c>
      <c r="H8" s="7" t="s">
        <v>12</v>
      </c>
      <c r="I8" s="7" t="s">
        <v>13</v>
      </c>
    </row>
    <row r="9" customFormat="false" ht="15" hidden="false" customHeight="false" outlineLevel="0" collapsed="false">
      <c r="A9" s="8" t="s">
        <v>14</v>
      </c>
      <c r="B9" s="8" t="s">
        <v>15</v>
      </c>
      <c r="C9" s="9" t="n">
        <v>200</v>
      </c>
      <c r="D9" s="9" t="n">
        <v>80900</v>
      </c>
      <c r="E9" s="10" t="n">
        <v>56.3</v>
      </c>
      <c r="F9" s="9" t="n">
        <v>22310</v>
      </c>
      <c r="G9" s="9" t="n">
        <v>33410</v>
      </c>
      <c r="H9" s="9" t="n">
        <v>34490</v>
      </c>
      <c r="I9" s="9" t="n">
        <v>100</v>
      </c>
    </row>
    <row r="10" customFormat="false" ht="15" hidden="false" customHeight="false" outlineLevel="0" collapsed="false">
      <c r="A10" s="8" t="s">
        <v>14</v>
      </c>
      <c r="B10" s="8" t="s">
        <v>16</v>
      </c>
      <c r="C10" s="9" t="n">
        <v>300</v>
      </c>
      <c r="D10" s="9" t="n">
        <v>108000</v>
      </c>
      <c r="E10" s="10" t="n">
        <v>74.9</v>
      </c>
      <c r="F10" s="9" t="n">
        <v>29745</v>
      </c>
      <c r="G10" s="9" t="n">
        <v>44490</v>
      </c>
      <c r="H10" s="9" t="n">
        <v>35190</v>
      </c>
      <c r="I10" s="9" t="n">
        <v>80</v>
      </c>
    </row>
    <row r="11" customFormat="false" ht="15" hidden="false" customHeight="false" outlineLevel="0" collapsed="false">
      <c r="A11" s="8" t="s">
        <v>14</v>
      </c>
      <c r="B11" s="8" t="s">
        <v>17</v>
      </c>
      <c r="C11" s="9" t="n">
        <v>500</v>
      </c>
      <c r="D11" s="9" t="n">
        <v>162000</v>
      </c>
      <c r="E11" s="10" t="n">
        <v>112.5</v>
      </c>
      <c r="F11" s="9" t="n">
        <v>44620</v>
      </c>
      <c r="G11" s="9" t="n">
        <v>66820</v>
      </c>
      <c r="H11" s="9" t="n">
        <v>34490</v>
      </c>
      <c r="I11" s="9" t="n">
        <v>50</v>
      </c>
    </row>
    <row r="12" customFormat="false" ht="15" hidden="false" customHeight="false" outlineLevel="0" collapsed="false">
      <c r="A12" s="8" t="s">
        <v>14</v>
      </c>
      <c r="B12" s="8" t="s">
        <v>18</v>
      </c>
      <c r="C12" s="9" t="n">
        <v>30</v>
      </c>
      <c r="D12" s="9" t="n">
        <v>255000</v>
      </c>
      <c r="E12" s="10" t="n">
        <v>177.6</v>
      </c>
      <c r="F12" s="9" t="n">
        <v>58080</v>
      </c>
      <c r="G12" s="9" t="n">
        <v>122370</v>
      </c>
      <c r="H12" s="9" t="n">
        <v>36290</v>
      </c>
      <c r="I12" s="9" t="n">
        <v>30</v>
      </c>
    </row>
    <row r="14" customFormat="false" ht="41" hidden="false" customHeight="false" outlineLevel="0" collapsed="false">
      <c r="A14" s="5" t="s">
        <v>19</v>
      </c>
    </row>
    <row r="15" customFormat="false" ht="30" hidden="false" customHeight="true" outlineLevel="0" collapsed="false">
      <c r="A15" s="6" t="s">
        <v>5</v>
      </c>
      <c r="B15" s="6" t="s">
        <v>6</v>
      </c>
      <c r="C15" s="6" t="s">
        <v>20</v>
      </c>
      <c r="D15" s="7" t="s">
        <v>21</v>
      </c>
      <c r="E15" s="7" t="s">
        <v>22</v>
      </c>
      <c r="F15" s="7" t="s">
        <v>23</v>
      </c>
      <c r="G15" s="6" t="s">
        <v>24</v>
      </c>
      <c r="H15" s="6" t="s">
        <v>25</v>
      </c>
      <c r="I15" s="6" t="s">
        <v>26</v>
      </c>
    </row>
    <row r="16" customFormat="false" ht="15" hidden="false" customHeight="false" outlineLevel="0" collapsed="false">
      <c r="A16" s="3" t="str">
        <f aca="false">A9</f>
        <v>PTFE SHEET</v>
      </c>
      <c r="B16" s="3" t="str">
        <f aca="false">B9</f>
        <v>1.5T x 1300 x 1300</v>
      </c>
      <c r="C16" s="11" t="n">
        <f aca="false">D9</f>
        <v>80900</v>
      </c>
      <c r="D16" s="11" t="n">
        <f aca="false">E9*$C$4</f>
        <v>73190</v>
      </c>
      <c r="E16" s="11" t="n">
        <f aca="false">F9*$C$5/100</f>
        <v>189635</v>
      </c>
      <c r="F16" s="11" t="n">
        <f aca="false">(G9+H9/I9)*$C$5/100</f>
        <v>286916.65</v>
      </c>
      <c r="G16" s="12" t="str">
        <f aca="false">INDEX($C$15:$F$15,MATCH(H16,C16:F16,0))</f>
        <v>UNITEX</v>
      </c>
      <c r="H16" s="13" t="n">
        <f aca="false">MIN(C16:F16)</f>
        <v>73190</v>
      </c>
      <c r="I16" s="14" t="n">
        <f aca="false">H16/C16-1</f>
        <v>-0.0953028430160692</v>
      </c>
    </row>
    <row r="17" customFormat="false" ht="15" hidden="false" customHeight="false" outlineLevel="0" collapsed="false">
      <c r="A17" s="3" t="str">
        <f aca="false">A10</f>
        <v>PTFE SHEET</v>
      </c>
      <c r="B17" s="3" t="str">
        <f aca="false">B10</f>
        <v>2T x 1300 x 1300</v>
      </c>
      <c r="C17" s="11" t="n">
        <f aca="false">D10</f>
        <v>108000</v>
      </c>
      <c r="D17" s="11" t="n">
        <f aca="false">E10*$C$4</f>
        <v>97370</v>
      </c>
      <c r="E17" s="11" t="n">
        <f aca="false">F10*$C$5/100</f>
        <v>252832.5</v>
      </c>
      <c r="F17" s="11" t="n">
        <f aca="false">(G10+H10/I10)*$C$5/100</f>
        <v>381903.9375</v>
      </c>
      <c r="G17" s="12" t="str">
        <f aca="false">INDEX($C$15:$F$15,MATCH(H17,C17:F17,0))</f>
        <v>UNITEX</v>
      </c>
      <c r="H17" s="13" t="n">
        <f aca="false">MIN(C17:F17)</f>
        <v>97370</v>
      </c>
      <c r="I17" s="14" t="n">
        <f aca="false">H17/C17-1</f>
        <v>-0.0984259259259258</v>
      </c>
    </row>
    <row r="18" customFormat="false" ht="15" hidden="false" customHeight="false" outlineLevel="0" collapsed="false">
      <c r="A18" s="3" t="str">
        <f aca="false">A11</f>
        <v>PTFE SHEET</v>
      </c>
      <c r="B18" s="3" t="str">
        <f aca="false">B11</f>
        <v>3T x 1300 x 1300</v>
      </c>
      <c r="C18" s="11" t="n">
        <f aca="false">D11</f>
        <v>162000</v>
      </c>
      <c r="D18" s="11" t="n">
        <f aca="false">E11*$C$4</f>
        <v>146250</v>
      </c>
      <c r="E18" s="11" t="n">
        <f aca="false">F11*$C$5/100</f>
        <v>379270</v>
      </c>
      <c r="F18" s="11" t="n">
        <f aca="false">(G11+H11/I11)*$C$5/100</f>
        <v>573833.3</v>
      </c>
      <c r="G18" s="12" t="str">
        <f aca="false">INDEX($C$15:$F$15,MATCH(H18,C18:F18,0))</f>
        <v>UNITEX</v>
      </c>
      <c r="H18" s="13" t="n">
        <f aca="false">MIN(C18:F18)</f>
        <v>146250</v>
      </c>
      <c r="I18" s="14" t="n">
        <f aca="false">H18/C18-1</f>
        <v>-0.0972222222222222</v>
      </c>
    </row>
    <row r="19" customFormat="false" ht="15" hidden="false" customHeight="false" outlineLevel="0" collapsed="false">
      <c r="A19" s="3" t="str">
        <f aca="false">A12</f>
        <v>PTFE SHEET</v>
      </c>
      <c r="B19" s="3" t="str">
        <f aca="false">B12</f>
        <v>0.8T x 1000 x 10M (ROLL)</v>
      </c>
      <c r="C19" s="11" t="n">
        <f aca="false">D12</f>
        <v>255000</v>
      </c>
      <c r="D19" s="11" t="n">
        <f aca="false">E12*$C$4</f>
        <v>230880</v>
      </c>
      <c r="E19" s="11" t="n">
        <f aca="false">F12*$C$5/100</f>
        <v>493680</v>
      </c>
      <c r="F19" s="11" t="n">
        <f aca="false">(G12+H12/I12)*$C$5/100</f>
        <v>1050427.16666667</v>
      </c>
      <c r="G19" s="12" t="str">
        <f aca="false">INDEX($C$15:$F$15,MATCH(H19,C19:F19,0))</f>
        <v>UNITEX</v>
      </c>
      <c r="H19" s="13" t="n">
        <f aca="false">MIN(C19:F19)</f>
        <v>230880</v>
      </c>
      <c r="I19" s="14" t="n">
        <f aca="false">H19/C19-1</f>
        <v>-0.0945882352941176</v>
      </c>
    </row>
    <row r="21" customFormat="false" ht="68.65" hidden="false" customHeight="false" outlineLevel="0" collapsed="false">
      <c r="A21" s="5" t="s">
        <v>27</v>
      </c>
    </row>
    <row r="22" customFormat="false" ht="30" hidden="false" customHeight="true" outlineLevel="0" collapsed="false">
      <c r="A22" s="6" t="s">
        <v>5</v>
      </c>
      <c r="B22" s="6" t="s">
        <v>6</v>
      </c>
      <c r="C22" s="6" t="s">
        <v>20</v>
      </c>
      <c r="D22" s="7" t="s">
        <v>21</v>
      </c>
      <c r="E22" s="7" t="s">
        <v>22</v>
      </c>
      <c r="F22" s="7" t="s">
        <v>23</v>
      </c>
      <c r="G22" s="6" t="s">
        <v>24</v>
      </c>
      <c r="H22" s="6" t="s">
        <v>28</v>
      </c>
      <c r="I22" s="6" t="s">
        <v>29</v>
      </c>
    </row>
    <row r="23" customFormat="false" ht="15" hidden="false" customHeight="false" outlineLevel="0" collapsed="false">
      <c r="A23" s="3" t="str">
        <f aca="false">A9</f>
        <v>PTFE SHEET</v>
      </c>
      <c r="B23" s="3" t="str">
        <f aca="false">B9</f>
        <v>1.5T x 1300 x 1300</v>
      </c>
      <c r="C23" s="11" t="n">
        <f aca="false">$C9*C16</f>
        <v>16180000</v>
      </c>
      <c r="D23" s="11" t="n">
        <f aca="false">$C9*D16</f>
        <v>14638000</v>
      </c>
      <c r="E23" s="11" t="n">
        <f aca="false">$C9*E16</f>
        <v>37927000</v>
      </c>
      <c r="F23" s="11" t="n">
        <f aca="false">$C9*F16</f>
        <v>57383330</v>
      </c>
      <c r="G23" s="12" t="str">
        <f aca="false">INDEX($C$22:$F$22,MATCH(H23,C23:F23,0))</f>
        <v>UNITEX</v>
      </c>
      <c r="H23" s="13" t="n">
        <f aca="false">MIN(C23:F23)</f>
        <v>14638000</v>
      </c>
      <c r="I23" s="11" t="n">
        <f aca="false">C9</f>
        <v>200</v>
      </c>
    </row>
    <row r="24" customFormat="false" ht="15" hidden="false" customHeight="false" outlineLevel="0" collapsed="false">
      <c r="A24" s="3" t="str">
        <f aca="false">A10</f>
        <v>PTFE SHEET</v>
      </c>
      <c r="B24" s="3" t="str">
        <f aca="false">B10</f>
        <v>2T x 1300 x 1300</v>
      </c>
      <c r="C24" s="11" t="n">
        <f aca="false">$C10*C17</f>
        <v>32400000</v>
      </c>
      <c r="D24" s="11" t="n">
        <f aca="false">$C10*D17</f>
        <v>29211000</v>
      </c>
      <c r="E24" s="11" t="n">
        <f aca="false">$C10*E17</f>
        <v>75849750</v>
      </c>
      <c r="F24" s="11" t="n">
        <f aca="false">$C10*F17</f>
        <v>114571181.25</v>
      </c>
      <c r="G24" s="12" t="str">
        <f aca="false">INDEX($C$22:$F$22,MATCH(H24,C24:F24,0))</f>
        <v>UNITEX</v>
      </c>
      <c r="H24" s="13" t="n">
        <f aca="false">MIN(C24:F24)</f>
        <v>29211000</v>
      </c>
      <c r="I24" s="11" t="n">
        <f aca="false">C10</f>
        <v>300</v>
      </c>
    </row>
    <row r="25" customFormat="false" ht="15" hidden="false" customHeight="false" outlineLevel="0" collapsed="false">
      <c r="A25" s="3" t="str">
        <f aca="false">A11</f>
        <v>PTFE SHEET</v>
      </c>
      <c r="B25" s="3" t="str">
        <f aca="false">B11</f>
        <v>3T x 1300 x 1300</v>
      </c>
      <c r="C25" s="11" t="n">
        <f aca="false">$C11*C18</f>
        <v>81000000</v>
      </c>
      <c r="D25" s="11" t="n">
        <f aca="false">$C11*D18</f>
        <v>73125000</v>
      </c>
      <c r="E25" s="11" t="n">
        <f aca="false">$C11*E18</f>
        <v>189635000</v>
      </c>
      <c r="F25" s="11" t="n">
        <f aca="false">$C11*F18</f>
        <v>286916650</v>
      </c>
      <c r="G25" s="12" t="str">
        <f aca="false">INDEX($C$22:$F$22,MATCH(H25,C25:F25,0))</f>
        <v>UNITEX</v>
      </c>
      <c r="H25" s="13" t="n">
        <f aca="false">MIN(C25:F25)</f>
        <v>73125000</v>
      </c>
      <c r="I25" s="11" t="n">
        <f aca="false">C11</f>
        <v>500</v>
      </c>
    </row>
    <row r="26" customFormat="false" ht="15" hidden="false" customHeight="false" outlineLevel="0" collapsed="false">
      <c r="A26" s="3" t="str">
        <f aca="false">A12</f>
        <v>PTFE SHEET</v>
      </c>
      <c r="B26" s="3" t="str">
        <f aca="false">B12</f>
        <v>0.8T x 1000 x 10M (ROLL)</v>
      </c>
      <c r="C26" s="11" t="n">
        <f aca="false">$C12*C19</f>
        <v>7650000</v>
      </c>
      <c r="D26" s="11" t="n">
        <f aca="false">$C12*D19</f>
        <v>6926400</v>
      </c>
      <c r="E26" s="11" t="n">
        <f aca="false">$C12*E19</f>
        <v>14810400</v>
      </c>
      <c r="F26" s="11" t="n">
        <f aca="false">$C12*F19</f>
        <v>31512815</v>
      </c>
      <c r="G26" s="12" t="str">
        <f aca="false">INDEX($C$22:$F$22,MATCH(H26,C26:F26,0))</f>
        <v>UNITEX</v>
      </c>
      <c r="H26" s="13" t="n">
        <f aca="false">MIN(C26:F26)</f>
        <v>6926400</v>
      </c>
      <c r="I26" s="11" t="n">
        <f aca="false">C12</f>
        <v>30</v>
      </c>
    </row>
    <row r="27" customFormat="false" ht="15" hidden="false" customHeight="true" outlineLevel="0" collapsed="false">
      <c r="A27" s="15" t="s">
        <v>30</v>
      </c>
      <c r="B27" s="15"/>
      <c r="C27" s="16" t="n">
        <f aca="false">SUM(C23:C26)</f>
        <v>137230000</v>
      </c>
      <c r="D27" s="16" t="n">
        <f aca="false">SUM(D23:D26)</f>
        <v>123900400</v>
      </c>
      <c r="E27" s="16" t="n">
        <f aca="false">SUM(E23:E26)</f>
        <v>318222150</v>
      </c>
      <c r="F27" s="16" t="n">
        <f aca="false">SUM(F23:F26)</f>
        <v>490383976.25</v>
      </c>
      <c r="G27" s="17" t="str">
        <f aca="false">INDEX($C$22:$F$22,MATCH(MIN(C27:F27),C27:F27,0))</f>
        <v>UNITEX</v>
      </c>
      <c r="H27" s="16" t="n">
        <f aca="false">SUM(H23:H26)</f>
        <v>123900400</v>
      </c>
      <c r="I27" s="16" t="n">
        <f aca="false">SUM(I23:I26)</f>
        <v>1030</v>
      </c>
    </row>
    <row r="28" customFormat="false" ht="15" hidden="false" customHeight="true" outlineLevel="0" collapsed="false">
      <c r="A28" s="15" t="s">
        <v>31</v>
      </c>
      <c r="B28" s="15"/>
      <c r="C28" s="18" t="n">
        <f aca="false">C27/$C$27-1</f>
        <v>0</v>
      </c>
      <c r="D28" s="18" t="n">
        <f aca="false">D27/$C$27-1</f>
        <v>-0.0971332798950667</v>
      </c>
      <c r="E28" s="18" t="n">
        <f aca="false">E27/$C$27-1</f>
        <v>1.31889637834293</v>
      </c>
      <c r="F28" s="18" t="n">
        <f aca="false">F27/$C$27-1</f>
        <v>2.57344586642862</v>
      </c>
      <c r="G28" s="19"/>
      <c r="H28" s="19"/>
      <c r="I28" s="19"/>
    </row>
    <row r="30" customFormat="false" ht="15" hidden="false" customHeight="false" outlineLevel="0" collapsed="false">
      <c r="A30" s="2" t="s">
        <v>32</v>
      </c>
    </row>
    <row r="31" customFormat="false" ht="27.75" hidden="false" customHeight="true" outlineLevel="0" collapsed="false">
      <c r="A31" s="20" t="s">
        <v>33</v>
      </c>
      <c r="B31" s="20"/>
      <c r="C31" s="20"/>
      <c r="D31" s="20"/>
      <c r="E31" s="20"/>
      <c r="F31" s="20"/>
      <c r="G31" s="20"/>
      <c r="H31" s="20"/>
      <c r="I31" s="20"/>
    </row>
    <row r="32" customFormat="false" ht="27.75" hidden="false" customHeight="true" outlineLevel="0" collapsed="false">
      <c r="A32" s="20" t="s">
        <v>34</v>
      </c>
      <c r="B32" s="20"/>
      <c r="C32" s="20"/>
      <c r="D32" s="20"/>
      <c r="E32" s="20"/>
      <c r="F32" s="20"/>
      <c r="G32" s="20"/>
      <c r="H32" s="20"/>
      <c r="I32" s="20"/>
    </row>
    <row r="33" customFormat="false" ht="27.75" hidden="false" customHeight="true" outlineLevel="0" collapsed="false">
      <c r="A33" s="20" t="s">
        <v>35</v>
      </c>
      <c r="B33" s="20"/>
      <c r="C33" s="20"/>
      <c r="D33" s="20"/>
      <c r="E33" s="20"/>
      <c r="F33" s="20"/>
      <c r="G33" s="20"/>
      <c r="H33" s="20"/>
      <c r="I33" s="20"/>
    </row>
    <row r="34" customFormat="false" ht="27.75" hidden="false" customHeight="true" outlineLevel="0" collapsed="false">
      <c r="A34" s="20" t="s">
        <v>36</v>
      </c>
      <c r="B34" s="20"/>
      <c r="C34" s="20"/>
      <c r="D34" s="20"/>
      <c r="E34" s="20"/>
      <c r="F34" s="20"/>
      <c r="G34" s="20"/>
      <c r="H34" s="20"/>
      <c r="I34" s="20"/>
    </row>
    <row r="35" customFormat="false" ht="27.75" hidden="false" customHeight="true" outlineLevel="0" collapsed="false">
      <c r="A35" s="20" t="s">
        <v>37</v>
      </c>
      <c r="B35" s="20"/>
      <c r="C35" s="20"/>
      <c r="D35" s="20"/>
      <c r="E35" s="20"/>
      <c r="F35" s="20"/>
      <c r="G35" s="20"/>
      <c r="H35" s="20"/>
      <c r="I35" s="20"/>
    </row>
    <row r="36" customFormat="false" ht="27.75" hidden="false" customHeight="true" outlineLevel="0" collapsed="false">
      <c r="A36" s="20" t="s">
        <v>38</v>
      </c>
      <c r="B36" s="20"/>
      <c r="C36" s="20"/>
      <c r="D36" s="20"/>
      <c r="E36" s="20"/>
      <c r="F36" s="20"/>
      <c r="G36" s="20"/>
      <c r="H36" s="20"/>
      <c r="I36" s="20"/>
    </row>
    <row r="37" customFormat="false" ht="27.75" hidden="false" customHeight="true" outlineLevel="0" collapsed="false">
      <c r="A37" s="20" t="s">
        <v>39</v>
      </c>
      <c r="B37" s="20"/>
      <c r="C37" s="20"/>
      <c r="D37" s="20"/>
      <c r="E37" s="20"/>
      <c r="F37" s="20"/>
      <c r="G37" s="20"/>
      <c r="H37" s="20"/>
      <c r="I37" s="20"/>
    </row>
  </sheetData>
  <mergeCells count="11">
    <mergeCell ref="A4:B4"/>
    <mergeCell ref="A5:B5"/>
    <mergeCell ref="A27:B27"/>
    <mergeCell ref="A28:B28"/>
    <mergeCell ref="A31:I31"/>
    <mergeCell ref="A32:I32"/>
    <mergeCell ref="A33:I33"/>
    <mergeCell ref="A34:I34"/>
    <mergeCell ref="A35:I35"/>
    <mergeCell ref="A36:I36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2026-10-07T01:56:33Z</dcterms:created>
  <dc:creator>openpyxl</dc:creator>
  <dc:description/>
  <dc:language>en-US</dc:language>
  <cp:lastModifiedBy/>
  <dcterms:modified xsi:type="dcterms:W3CDTF">2026-10-07T01:56:33Z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